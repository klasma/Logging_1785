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46313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46313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46313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46313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46313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46313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46313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46313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46313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46313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46313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46313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46313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46313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46313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46313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46313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46313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46313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46313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36273-2024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46313</v>
      </c>
      <c r="F22" t="inlineStr">
        <is>
          <t>VÄRMLANDS LÄN</t>
        </is>
      </c>
      <c r="G22" t="inlineStr">
        <is>
          <t>SÄFFLE</t>
        </is>
      </c>
      <c r="I22" t="n">
        <v>4.8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36273-2024 artfynd.xlsx", "A 36273-2024")</f>
        <v/>
      </c>
      <c r="X22">
        <f>HYPERLINK("https://klasma.github.io/Logging_1785/kartor/A 36273-2024 karta.png", "A 36273-2024")</f>
        <v/>
      </c>
      <c r="Y22">
        <f>HYPERLINK("https://klasma.github.io/Logging_1785/kartor_geotiff/A 36273-2024 georefererad karta.tif", "A 36273-2024")</f>
        <v/>
      </c>
      <c r="AA22">
        <f>HYPERLINK("https://klasma.github.io/Logging_1785/klagomål/A 36273-2024 FSC-klagomål.docx", "A 36273-2024")</f>
        <v/>
      </c>
      <c r="AB22">
        <f>HYPERLINK("https://klasma.github.io/Logging_1785/klagomålsmail/A 36273-2024 FSC-klagomål mail.docx", "A 36273-2024")</f>
        <v/>
      </c>
      <c r="AC22">
        <f>HYPERLINK("https://klasma.github.io/Logging_1785/tillsyn/A 36273-2024 tillsynsbegäran.docx", "A 36273-2024")</f>
        <v/>
      </c>
      <c r="AD22">
        <f>HYPERLINK("https://klasma.github.io/Logging_1785/tillsynsmail/A 36273-2024 tillsynsbegäran mail.docx", "A 36273-2024")</f>
        <v/>
      </c>
    </row>
    <row r="23" ht="15" customHeight="1">
      <c r="A23" t="inlineStr">
        <is>
          <t>A 38621-2023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46313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HYPERLINK("https://klasma.github.io/Logging_1785/artfynd/A 38621-2023 artfynd.xlsx", "A 38621-2023")</f>
        <v/>
      </c>
      <c r="X23">
        <f>HYPERLINK("https://klasma.github.io/Logging_1785/kartor/A 38621-2023 karta.png", "A 38621-2023")</f>
        <v/>
      </c>
      <c r="Y23">
        <f>HYPERLINK("https://klasma.github.io/Logging_1785/kartor_geotiff/A 38621-2023 georefererad karta.tif", "A 38621-2023")</f>
        <v/>
      </c>
      <c r="AA23">
        <f>HYPERLINK("https://klasma.github.io/Logging_1785/klagomål/A 38621-2023 FSC-klagomål.docx", "A 38621-2023")</f>
        <v/>
      </c>
      <c r="AB23">
        <f>HYPERLINK("https://klasma.github.io/Logging_1785/klagomålsmail/A 38621-2023 FSC-klagomål mail.docx", "A 38621-2023")</f>
        <v/>
      </c>
      <c r="AC23">
        <f>HYPERLINK("https://klasma.github.io/Logging_1785/tillsyn/A 38621-2023 tillsynsbegäran.docx", "A 38621-2023")</f>
        <v/>
      </c>
      <c r="AD23">
        <f>HYPERLINK("https://klasma.github.io/Logging_1785/tillsynsmail/A 38621-2023 tillsynsbegäran mail.docx", "A 38621-2023")</f>
        <v/>
      </c>
    </row>
    <row r="24" ht="15" customHeight="1">
      <c r="A24" t="inlineStr">
        <is>
          <t>A 2740-2023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46313</v>
      </c>
      <c r="F24" t="inlineStr">
        <is>
          <t>VÄRMLANDS LÄN</t>
        </is>
      </c>
      <c r="G24" t="inlineStr">
        <is>
          <t>SÄFFLE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HYPERLINK("https://klasma.github.io/Logging_1785/artfynd/A 2740-2023 artfynd.xlsx", "A 2740-2023")</f>
        <v/>
      </c>
      <c r="X24">
        <f>HYPERLINK("https://klasma.github.io/Logging_1785/kartor/A 2740-2023 karta.png", "A 2740-2023")</f>
        <v/>
      </c>
      <c r="Y24">
        <f>HYPERLINK("https://klasma.github.io/Logging_1785/kartor_geotiff/A 2740-2023 georefererad karta.tif", "A 2740-2023")</f>
        <v/>
      </c>
      <c r="AA24">
        <f>HYPERLINK("https://klasma.github.io/Logging_1785/klagomål/A 2740-2023 FSC-klagomål.docx", "A 2740-2023")</f>
        <v/>
      </c>
      <c r="AB24">
        <f>HYPERLINK("https://klasma.github.io/Logging_1785/klagomålsmail/A 2740-2023 FSC-klagomål mail.docx", "A 2740-2023")</f>
        <v/>
      </c>
      <c r="AC24">
        <f>HYPERLINK("https://klasma.github.io/Logging_1785/tillsyn/A 2740-2023 tillsynsbegäran.docx", "A 2740-2023")</f>
        <v/>
      </c>
      <c r="AD24">
        <f>HYPERLINK("https://klasma.github.io/Logging_1785/tillsynsmail/A 2740-2023 tillsynsbegäran mail.docx", "A 2740-2023")</f>
        <v/>
      </c>
    </row>
    <row r="25" ht="15" customHeight="1">
      <c r="A25" t="inlineStr">
        <is>
          <t>A 33538-2025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46313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33538-2025 artfynd.xlsx", "A 33538-2025")</f>
        <v/>
      </c>
      <c r="X25">
        <f>HYPERLINK("https://klasma.github.io/Logging_1785/kartor/A 33538-2025 karta.png", "A 33538-2025")</f>
        <v/>
      </c>
      <c r="Y25">
        <f>HYPERLINK("https://klasma.github.io/Logging_1785/kartor_geotiff/A 33538-2025 georefererad karta.tif", "A 33538-2025")</f>
        <v/>
      </c>
      <c r="AA25">
        <f>HYPERLINK("https://klasma.github.io/Logging_1785/klagomål/A 33538-2025 FSC-klagomål.docx", "A 33538-2025")</f>
        <v/>
      </c>
      <c r="AB25">
        <f>HYPERLINK("https://klasma.github.io/Logging_1785/klagomålsmail/A 33538-2025 FSC-klagomål mail.docx", "A 33538-2025")</f>
        <v/>
      </c>
      <c r="AC25">
        <f>HYPERLINK("https://klasma.github.io/Logging_1785/tillsyn/A 33538-2025 tillsynsbegäran.docx", "A 33538-2025")</f>
        <v/>
      </c>
      <c r="AD25">
        <f>HYPERLINK("https://klasma.github.io/Logging_1785/tillsynsmail/A 33538-2025 tillsynsbegäran mail.docx", "A 33538-2025")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46313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46313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46313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45384</v>
      </c>
      <c r="E29" s="1" t="n">
        <v>46313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HYPERLINK("https://klasma.github.io/Logging_1785/artfynd/A 12740-2024 artfynd.xlsx", "A 12740-2024")</f>
        <v/>
      </c>
      <c r="X29">
        <f>HYPERLINK("https://klasma.github.io/Logging_1785/kartor/A 12740-2024 karta.png", "A 12740-2024")</f>
        <v/>
      </c>
      <c r="Y29">
        <f>HYPERLINK("https://klasma.github.io/Logging_1785/kartor_geotiff/A 12740-2024 georefererad karta.tif", "A 12740-2024")</f>
        <v/>
      </c>
      <c r="AA29">
        <f>HYPERLINK("https://klasma.github.io/Logging_1785/klagomål/A 12740-2024 FSC-klagomål.docx", "A 12740-2024")</f>
        <v/>
      </c>
      <c r="AB29">
        <f>HYPERLINK("https://klasma.github.io/Logging_1785/klagomålsmail/A 12740-2024 FSC-klagomål mail.docx", "A 12740-2024")</f>
        <v/>
      </c>
      <c r="AC29">
        <f>HYPERLINK("https://klasma.github.io/Logging_1785/tillsyn/A 12740-2024 tillsynsbegäran.docx", "A 12740-2024")</f>
        <v/>
      </c>
      <c r="AD29">
        <f>HYPERLINK("https://klasma.github.io/Logging_1785/tillsynsmail/A 12740-2024 tillsynsbegäran mail.docx", "A 12740-2024")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46313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14428-2023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45012</v>
      </c>
      <c r="E31" s="1" t="n">
        <v>46313</v>
      </c>
      <c r="F31" t="inlineStr">
        <is>
          <t>VÄRMLANDS LÄN</t>
        </is>
      </c>
      <c r="G31" t="inlineStr">
        <is>
          <t>SÄFFLE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HYPERLINK("https://klasma.github.io/Logging_1785/artfynd/A 14428-2023 artfynd.xlsx", "A 14428-2023")</f>
        <v/>
      </c>
      <c r="X31">
        <f>HYPERLINK("https://klasma.github.io/Logging_1785/kartor/A 14428-2023 karta.png", "A 14428-2023")</f>
        <v/>
      </c>
      <c r="Y31">
        <f>HYPERLINK("https://klasma.github.io/Logging_1785/kartor_geotiff/A 14428-2023 georefererad karta.tif", "A 14428-2023")</f>
        <v/>
      </c>
      <c r="AA31">
        <f>HYPERLINK("https://klasma.github.io/Logging_1785/klagomål/A 14428-2023 FSC-klagomål.docx", "A 14428-2023")</f>
        <v/>
      </c>
      <c r="AB31">
        <f>HYPERLINK("https://klasma.github.io/Logging_1785/klagomålsmail/A 14428-2023 FSC-klagomål mail.docx", "A 14428-2023")</f>
        <v/>
      </c>
      <c r="AC31">
        <f>HYPERLINK("https://klasma.github.io/Logging_1785/tillsyn/A 14428-2023 tillsynsbegäran.docx", "A 14428-2023")</f>
        <v/>
      </c>
      <c r="AD31">
        <f>HYPERLINK("https://klasma.github.io/Logging_1785/tillsynsmail/A 14428-2023 tillsynsbegäran mail.docx", "A 14428-2023")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46313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1717-2023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44936</v>
      </c>
      <c r="E33" s="1" t="n">
        <v>46313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1717-2023 artfynd.xlsx", "A 1717-2023")</f>
        <v/>
      </c>
      <c r="X33">
        <f>HYPERLINK("https://klasma.github.io/Logging_1785/kartor/A 1717-2023 karta.png", "A 1717-2023")</f>
        <v/>
      </c>
      <c r="Y33">
        <f>HYPERLINK("https://klasma.github.io/Logging_1785/kartor_geotiff/A 1717-2023 georefererad karta.tif", "A 1717-2023")</f>
        <v/>
      </c>
      <c r="AA33">
        <f>HYPERLINK("https://klasma.github.io/Logging_1785/klagomål/A 1717-2023 FSC-klagomål.docx", "A 1717-2023")</f>
        <v/>
      </c>
      <c r="AB33">
        <f>HYPERLINK("https://klasma.github.io/Logging_1785/klagomålsmail/A 1717-2023 FSC-klagomål mail.docx", "A 1717-2023")</f>
        <v/>
      </c>
      <c r="AC33">
        <f>HYPERLINK("https://klasma.github.io/Logging_1785/tillsyn/A 1717-2023 tillsynsbegäran.docx", "A 1717-2023")</f>
        <v/>
      </c>
      <c r="AD33">
        <f>HYPERLINK("https://klasma.github.io/Logging_1785/tillsynsmail/A 1717-2023 tillsynsbegäran mail.docx", "A 1717-2023")</f>
        <v/>
      </c>
    </row>
    <row r="34" ht="15" customHeight="1">
      <c r="A34" t="inlineStr">
        <is>
          <t>A 31657-2023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46313</v>
      </c>
      <c r="F34" t="inlineStr">
        <is>
          <t>VÄRMLANDS LÄN</t>
        </is>
      </c>
      <c r="G34" t="inlineStr">
        <is>
          <t>SÄFFLE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Vanlig groda</t>
        </is>
      </c>
      <c r="W34">
        <f>HYPERLINK("https://klasma.github.io/Logging_1785/artfynd/A 31657-2023 artfynd.xlsx", "A 31657-2023")</f>
        <v/>
      </c>
      <c r="X34">
        <f>HYPERLINK("https://klasma.github.io/Logging_1785/kartor/A 31657-2023 karta.png", "A 31657-2023")</f>
        <v/>
      </c>
      <c r="Y34">
        <f>HYPERLINK("https://klasma.github.io/Logging_1785/kartor_geotiff/A 31657-2023 georefererad karta.tif", "A 31657-2023")</f>
        <v/>
      </c>
      <c r="AA34">
        <f>HYPERLINK("https://klasma.github.io/Logging_1785/klagomål/A 31657-2023 FSC-klagomål.docx", "A 31657-2023")</f>
        <v/>
      </c>
      <c r="AB34">
        <f>HYPERLINK("https://klasma.github.io/Logging_1785/klagomålsmail/A 31657-2023 FSC-klagomål mail.docx", "A 31657-2023")</f>
        <v/>
      </c>
      <c r="AC34">
        <f>HYPERLINK("https://klasma.github.io/Logging_1785/tillsyn/A 31657-2023 tillsynsbegäran.docx", "A 31657-2023")</f>
        <v/>
      </c>
      <c r="AD34">
        <f>HYPERLINK("https://klasma.github.io/Logging_1785/tillsynsmail/A 31657-2023 tillsynsbegäran mail.docx", "A 31657-2023")</f>
        <v/>
      </c>
    </row>
    <row r="35" ht="15" customHeight="1">
      <c r="A35" t="inlineStr">
        <is>
          <t>A 4134-2024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45323</v>
      </c>
      <c r="E35" s="1" t="n">
        <v>46313</v>
      </c>
      <c r="F35" t="inlineStr">
        <is>
          <t>VÄRMLANDS LÄN</t>
        </is>
      </c>
      <c r="G35" t="inlineStr">
        <is>
          <t>SÄFFLE</t>
        </is>
      </c>
      <c r="I35" t="n">
        <v>4.1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HYPERLINK("https://klasma.github.io/Logging_1785/artfynd/A 4134-2024 artfynd.xlsx", "A 4134-2024")</f>
        <v/>
      </c>
      <c r="X35">
        <f>HYPERLINK("https://klasma.github.io/Logging_1785/kartor/A 4134-2024 karta.png", "A 4134-2024")</f>
        <v/>
      </c>
      <c r="Y35">
        <f>HYPERLINK("https://klasma.github.io/Logging_1785/kartor_geotiff/A 4134-2024 georefererad karta.tif", "A 4134-2024")</f>
        <v/>
      </c>
      <c r="AA35">
        <f>HYPERLINK("https://klasma.github.io/Logging_1785/klagomål/A 4134-2024 FSC-klagomål.docx", "A 4134-2024")</f>
        <v/>
      </c>
      <c r="AB35">
        <f>HYPERLINK("https://klasma.github.io/Logging_1785/klagomålsmail/A 4134-2024 FSC-klagomål mail.docx", "A 4134-2024")</f>
        <v/>
      </c>
      <c r="AC35">
        <f>HYPERLINK("https://klasma.github.io/Logging_1785/tillsyn/A 4134-2024 tillsynsbegäran.docx", "A 4134-2024")</f>
        <v/>
      </c>
      <c r="AD35">
        <f>HYPERLINK("https://klasma.github.io/Logging_1785/tillsynsmail/A 4134-2024 tillsynsbegäran mail.docx", "A 4134-2024")</f>
        <v/>
      </c>
    </row>
    <row r="36" ht="15" customHeight="1">
      <c r="A36" t="inlineStr">
        <is>
          <t>A 37943-2026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46280</v>
      </c>
      <c r="E36" s="1" t="n">
        <v>46313</v>
      </c>
      <c r="F36" t="inlineStr">
        <is>
          <t>VÄRMLANDS LÄN</t>
        </is>
      </c>
      <c r="G36" t="inlineStr">
        <is>
          <t>SÄFFLE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Rönnfibbla</t>
        </is>
      </c>
      <c r="W36">
        <f>HYPERLINK("https://klasma.github.io/Logging_1785/artfynd/A 37943-2026 artfynd.xlsx", "A 37943-2026")</f>
        <v/>
      </c>
      <c r="X36">
        <f>HYPERLINK("https://klasma.github.io/Logging_1785/kartor/A 37943-2026 karta.png", "A 37943-2026")</f>
        <v/>
      </c>
      <c r="Y36">
        <f>HYPERLINK("https://klasma.github.io/Logging_1785/kartor_geotiff/A 37943-2026 georefererad karta.tif", "A 37943-2026")</f>
        <v/>
      </c>
      <c r="AA36">
        <f>HYPERLINK("https://klasma.github.io/Logging_1785/klagomål/A 37943-2026 FSC-klagomål.docx", "A 37943-2026")</f>
        <v/>
      </c>
      <c r="AB36">
        <f>HYPERLINK("https://klasma.github.io/Logging_1785/klagomålsmail/A 37943-2026 FSC-klagomål mail.docx", "A 37943-2026")</f>
        <v/>
      </c>
      <c r="AC36">
        <f>HYPERLINK("https://klasma.github.io/Logging_1785/tillsyn/A 37943-2026 tillsynsbegäran.docx", "A 37943-2026")</f>
        <v/>
      </c>
      <c r="AD36">
        <f>HYPERLINK("https://klasma.github.io/Logging_1785/tillsynsmail/A 37943-2026 tillsynsbegäran mail.docx", "A 37943-2026")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46313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14738-2024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46313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HYPERLINK("https://klasma.github.io/Logging_1785/artfynd/A 14738-2024 artfynd.xlsx", "A 14738-2024")</f>
        <v/>
      </c>
      <c r="X38">
        <f>HYPERLINK("https://klasma.github.io/Logging_1785/kartor/A 14738-2024 karta.png", "A 14738-2024")</f>
        <v/>
      </c>
      <c r="Y38">
        <f>HYPERLINK("https://klasma.github.io/Logging_1785/kartor_geotiff/A 14738-2024 georefererad karta.tif", "A 14738-2024")</f>
        <v/>
      </c>
      <c r="AA38">
        <f>HYPERLINK("https://klasma.github.io/Logging_1785/klagomål/A 14738-2024 FSC-klagomål.docx", "A 14738-2024")</f>
        <v/>
      </c>
      <c r="AB38">
        <f>HYPERLINK("https://klasma.github.io/Logging_1785/klagomålsmail/A 14738-2024 FSC-klagomål mail.docx", "A 14738-2024")</f>
        <v/>
      </c>
      <c r="AC38">
        <f>HYPERLINK("https://klasma.github.io/Logging_1785/tillsyn/A 14738-2024 tillsynsbegäran.docx", "A 14738-2024")</f>
        <v/>
      </c>
      <c r="AD38">
        <f>HYPERLINK("https://klasma.github.io/Logging_1785/tillsynsmail/A 14738-2024 tillsynsbegäran mail.docx", "A 14738-2024")</f>
        <v/>
      </c>
    </row>
    <row r="39" ht="15" customHeight="1">
      <c r="A39" t="inlineStr">
        <is>
          <t>A 60965-2024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46313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HYPERLINK("https://klasma.github.io/Logging_1785/artfynd/A 60965-2024 artfynd.xlsx", "A 60965-2024")</f>
        <v/>
      </c>
      <c r="X39">
        <f>HYPERLINK("https://klasma.github.io/Logging_1785/kartor/A 60965-2024 karta.png", "A 60965-2024")</f>
        <v/>
      </c>
      <c r="Y39">
        <f>HYPERLINK("https://klasma.github.io/Logging_1785/kartor_geotiff/A 60965-2024 georefererad karta.tif", "A 60965-2024")</f>
        <v/>
      </c>
      <c r="AA39">
        <f>HYPERLINK("https://klasma.github.io/Logging_1785/klagomål/A 60965-2024 FSC-klagomål.docx", "A 60965-2024")</f>
        <v/>
      </c>
      <c r="AB39">
        <f>HYPERLINK("https://klasma.github.io/Logging_1785/klagomålsmail/A 60965-2024 FSC-klagomål mail.docx", "A 60965-2024")</f>
        <v/>
      </c>
      <c r="AC39">
        <f>HYPERLINK("https://klasma.github.io/Logging_1785/tillsyn/A 60965-2024 tillsynsbegäran.docx", "A 60965-2024")</f>
        <v/>
      </c>
      <c r="AD39">
        <f>HYPERLINK("https://klasma.github.io/Logging_1785/tillsynsmail/A 60965-2024 tillsynsbegäran mail.docx", "A 60965-2024")</f>
        <v/>
      </c>
    </row>
    <row r="40" ht="15" customHeight="1">
      <c r="A40" t="inlineStr">
        <is>
          <t>A 42132-2026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46304</v>
      </c>
      <c r="E40" s="1" t="n">
        <v>46313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42132-2026 artfynd.xlsx", "A 42132-2026")</f>
        <v/>
      </c>
      <c r="X40">
        <f>HYPERLINK("https://klasma.github.io/Logging_1785/kartor/A 42132-2026 karta.png", "A 42132-2026")</f>
        <v/>
      </c>
      <c r="Y40">
        <f>HYPERLINK("https://klasma.github.io/Logging_1785/kartor_geotiff/A 42132-2026 georefererad karta.tif", "A 42132-2026")</f>
        <v/>
      </c>
      <c r="AA40">
        <f>HYPERLINK("https://klasma.github.io/Logging_1785/klagomål/A 42132-2026 FSC-klagomål.docx", "A 42132-2026")</f>
        <v/>
      </c>
      <c r="AB40">
        <f>HYPERLINK("https://klasma.github.io/Logging_1785/klagomålsmail/A 42132-2026 FSC-klagomål mail.docx", "A 42132-2026")</f>
        <v/>
      </c>
      <c r="AC40">
        <f>HYPERLINK("https://klasma.github.io/Logging_1785/tillsyn/A 42132-2026 tillsynsbegäran.docx", "A 42132-2026")</f>
        <v/>
      </c>
      <c r="AD40">
        <f>HYPERLINK("https://klasma.github.io/Logging_1785/tillsynsmail/A 42132-2026 tillsynsbegäran mail.docx", "A 42132-2026")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46313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46313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46313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46313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46313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46313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46313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46313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46313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46313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46313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46313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46313</v>
      </c>
      <c r="F53" t="inlineStr">
        <is>
          <t>VÄRMLANDS LÄN</t>
        </is>
      </c>
      <c r="G53" t="inlineStr">
        <is>
          <t>SÄFFLE</t>
        </is>
      </c>
      <c r="I53" t="n">
        <v>10.4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46313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46313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46313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46313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46313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46313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46313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46313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46313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46313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46313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46313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46313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46313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46313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46313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46313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46313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46313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46313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46313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46313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46313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46313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46313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46313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46313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46313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46313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46313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46313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46313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46313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46313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46313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46313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46313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46313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46313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46313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46313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46313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46313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46313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46313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46313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46313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46313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68155-2021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44526</v>
      </c>
      <c r="E102" s="1" t="n">
        <v>46313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46313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46313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46313</v>
      </c>
      <c r="F105" t="inlineStr">
        <is>
          <t>VÄRMLANDS LÄN</t>
        </is>
      </c>
      <c r="G105" t="inlineStr">
        <is>
          <t>SÄFFLE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46313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46313</v>
      </c>
      <c r="F107" t="inlineStr">
        <is>
          <t>VÄRMLANDS LÄN</t>
        </is>
      </c>
      <c r="G107" t="inlineStr">
        <is>
          <t>SÄFFLE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46313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46313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46313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46313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46313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46313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44829</v>
      </c>
      <c r="E114" s="1" t="n">
        <v>46313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46313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46313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46313</v>
      </c>
      <c r="F117" t="inlineStr">
        <is>
          <t>VÄRMLANDS LÄN</t>
        </is>
      </c>
      <c r="G117" t="inlineStr">
        <is>
          <t>SÄFFLE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46313</v>
      </c>
      <c r="F118" t="inlineStr">
        <is>
          <t>VÄRMLANDS LÄN</t>
        </is>
      </c>
      <c r="G118" t="inlineStr">
        <is>
          <t>SÄFFLE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46313</v>
      </c>
      <c r="F119" t="inlineStr">
        <is>
          <t>VÄRMLANDS LÄN</t>
        </is>
      </c>
      <c r="G119" t="inlineStr">
        <is>
          <t>SÄFFLE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63781-2023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45278</v>
      </c>
      <c r="E120" s="1" t="n">
        <v>46313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46313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46313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45572</v>
      </c>
      <c r="E123" s="1" t="n">
        <v>46313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45050</v>
      </c>
      <c r="E124" s="1" t="n">
        <v>46313</v>
      </c>
      <c r="F124" t="inlineStr">
        <is>
          <t>VÄRMLANDS LÄN</t>
        </is>
      </c>
      <c r="G124" t="inlineStr">
        <is>
          <t>SÄFFLE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19508-2023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45050</v>
      </c>
      <c r="E125" s="1" t="n">
        <v>46313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46313</v>
      </c>
      <c r="F126" t="inlineStr">
        <is>
          <t>VÄRMLANDS LÄN</t>
        </is>
      </c>
      <c r="G126" t="inlineStr">
        <is>
          <t>SÄFFLE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46313</v>
      </c>
      <c r="F127" t="inlineStr">
        <is>
          <t>VÄRMLANDS LÄN</t>
        </is>
      </c>
      <c r="G127" t="inlineStr">
        <is>
          <t>SÄFFLE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46313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46313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46313</v>
      </c>
      <c r="F130" t="inlineStr">
        <is>
          <t>VÄRMLANDS LÄN</t>
        </is>
      </c>
      <c r="G130" t="inlineStr">
        <is>
          <t>SÄFFLE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46313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46313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46313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46313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45171</v>
      </c>
      <c r="E135" s="1" t="n">
        <v>46313</v>
      </c>
      <c r="F135" t="inlineStr">
        <is>
          <t>VÄRMLANDS LÄN</t>
        </is>
      </c>
      <c r="G135" t="inlineStr">
        <is>
          <t>SÄFFLE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46313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46313</v>
      </c>
      <c r="F137" t="inlineStr">
        <is>
          <t>VÄRMLANDS LÄN</t>
        </is>
      </c>
      <c r="G137" t="inlineStr">
        <is>
          <t>SÄFFLE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46313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46313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46313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46313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46313</v>
      </c>
      <c r="F142" t="inlineStr">
        <is>
          <t>VÄRMLANDS LÄN</t>
        </is>
      </c>
      <c r="G142" t="inlineStr">
        <is>
          <t>SÄFFLE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44709</v>
      </c>
      <c r="E143" s="1" t="n">
        <v>46313</v>
      </c>
      <c r="F143" t="inlineStr">
        <is>
          <t>VÄRMLANDS LÄN</t>
        </is>
      </c>
      <c r="G143" t="inlineStr">
        <is>
          <t>SÄFFLE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46313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44627</v>
      </c>
      <c r="E145" s="1" t="n">
        <v>46313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46313</v>
      </c>
      <c r="F146" t="inlineStr">
        <is>
          <t>VÄRMLANDS LÄN</t>
        </is>
      </c>
      <c r="G146" t="inlineStr">
        <is>
          <t>SÄFFLE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46313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46313</v>
      </c>
      <c r="F148" t="inlineStr">
        <is>
          <t>VÄRMLANDS LÄN</t>
        </is>
      </c>
      <c r="G148" t="inlineStr">
        <is>
          <t>SÄFFLE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46313</v>
      </c>
      <c r="F149" t="inlineStr">
        <is>
          <t>VÄRMLANDS LÄN</t>
        </is>
      </c>
      <c r="G149" t="inlineStr">
        <is>
          <t>SÄFFLE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46313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46313</v>
      </c>
      <c r="F151" t="inlineStr">
        <is>
          <t>VÄRMLANDS LÄN</t>
        </is>
      </c>
      <c r="G151" t="inlineStr">
        <is>
          <t>SÄFFLE</t>
        </is>
      </c>
      <c r="I151" t="n">
        <v>10.7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46313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46313</v>
      </c>
      <c r="F153" t="inlineStr">
        <is>
          <t>VÄRMLANDS LÄN</t>
        </is>
      </c>
      <c r="G153" t="inlineStr">
        <is>
          <t>SÄFFLE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45331</v>
      </c>
      <c r="E154" s="1" t="n">
        <v>46313</v>
      </c>
      <c r="F154" t="inlineStr">
        <is>
          <t>VÄRMLANDS LÄN</t>
        </is>
      </c>
      <c r="G154" t="inlineStr">
        <is>
          <t>SÄFFLE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46313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44852</v>
      </c>
      <c r="E156" s="1" t="n">
        <v>46313</v>
      </c>
      <c r="F156" t="inlineStr">
        <is>
          <t>VÄRMLANDS LÄN</t>
        </is>
      </c>
      <c r="G156" t="inlineStr">
        <is>
          <t>SÄFFLE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46313</v>
      </c>
      <c r="F157" t="inlineStr">
        <is>
          <t>VÄRMLANDS LÄN</t>
        </is>
      </c>
      <c r="G157" t="inlineStr">
        <is>
          <t>SÄFFLE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45454</v>
      </c>
      <c r="E158" s="1" t="n">
        <v>46313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46313</v>
      </c>
      <c r="F159" t="inlineStr">
        <is>
          <t>VÄRMLANDS LÄN</t>
        </is>
      </c>
      <c r="G159" t="inlineStr">
        <is>
          <t>SÄFFLE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46313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46313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44763</v>
      </c>
      <c r="E162" s="1" t="n">
        <v>46313</v>
      </c>
      <c r="F162" t="inlineStr">
        <is>
          <t>VÄRMLANDS LÄN</t>
        </is>
      </c>
      <c r="G162" t="inlineStr">
        <is>
          <t>SÄFFLE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46313</v>
      </c>
      <c r="F163" t="inlineStr">
        <is>
          <t>VÄRMLANDS LÄN</t>
        </is>
      </c>
      <c r="G163" t="inlineStr">
        <is>
          <t>SÄFFLE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46313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46313</v>
      </c>
      <c r="F165" t="inlineStr">
        <is>
          <t>VÄRMLANDS LÄN</t>
        </is>
      </c>
      <c r="G165" t="inlineStr">
        <is>
          <t>SÄFFLE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46313</v>
      </c>
      <c r="F166" t="inlineStr">
        <is>
          <t>VÄRMLANDS LÄN</t>
        </is>
      </c>
      <c r="G166" t="inlineStr">
        <is>
          <t>SÄFFLE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45374</v>
      </c>
      <c r="E167" s="1" t="n">
        <v>46313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45676</v>
      </c>
      <c r="E168" s="1" t="n">
        <v>46313</v>
      </c>
      <c r="F168" t="inlineStr">
        <is>
          <t>VÄRMLANDS LÄN</t>
        </is>
      </c>
      <c r="G168" t="inlineStr">
        <is>
          <t>SÄFFLE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46313</v>
      </c>
      <c r="F169" t="inlineStr">
        <is>
          <t>VÄRMLANDS LÄN</t>
        </is>
      </c>
      <c r="G169" t="inlineStr">
        <is>
          <t>SÄFFLE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46313</v>
      </c>
      <c r="F170" t="inlineStr">
        <is>
          <t>VÄRMLANDS LÄN</t>
        </is>
      </c>
      <c r="G170" t="inlineStr">
        <is>
          <t>SÄFFLE</t>
        </is>
      </c>
      <c r="I170" t="n">
        <v>49.7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46313</v>
      </c>
      <c r="F171" t="inlineStr">
        <is>
          <t>VÄRMLANDS LÄN</t>
        </is>
      </c>
      <c r="G171" t="inlineStr">
        <is>
          <t>SÄFFLE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46313</v>
      </c>
      <c r="F172" t="inlineStr">
        <is>
          <t>VÄRMLANDS LÄN</t>
        </is>
      </c>
      <c r="G172" t="inlineStr">
        <is>
          <t>SÄFFLE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46313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46313</v>
      </c>
      <c r="F174" t="inlineStr">
        <is>
          <t>VÄRMLANDS LÄN</t>
        </is>
      </c>
      <c r="G174" t="inlineStr">
        <is>
          <t>SÄFFLE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46313</v>
      </c>
      <c r="F175" t="inlineStr">
        <is>
          <t>VÄRMLANDS LÄN</t>
        </is>
      </c>
      <c r="G175" t="inlineStr">
        <is>
          <t>SÄFFLE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46313</v>
      </c>
      <c r="F176" t="inlineStr">
        <is>
          <t>VÄRMLANDS LÄN</t>
        </is>
      </c>
      <c r="G176" t="inlineStr">
        <is>
          <t>SÄFFLE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46313</v>
      </c>
      <c r="F177" t="inlineStr">
        <is>
          <t>VÄRMLANDS LÄN</t>
        </is>
      </c>
      <c r="G177" t="inlineStr">
        <is>
          <t>SÄFFLE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46313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46313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46313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46313</v>
      </c>
      <c r="F181" t="inlineStr">
        <is>
          <t>VÄRMLANDS LÄN</t>
        </is>
      </c>
      <c r="G181" t="inlineStr">
        <is>
          <t>SÄFFLE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40630-2022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44823</v>
      </c>
      <c r="E182" s="1" t="n">
        <v>46313</v>
      </c>
      <c r="F182" t="inlineStr">
        <is>
          <t>VÄRMLANDS LÄN</t>
        </is>
      </c>
      <c r="G182" t="inlineStr">
        <is>
          <t>SÄFFLE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46313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46313</v>
      </c>
      <c r="F184" t="inlineStr">
        <is>
          <t>VÄRMLANDS LÄN</t>
        </is>
      </c>
      <c r="G184" t="inlineStr">
        <is>
          <t>SÄFFLE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46313</v>
      </c>
      <c r="F185" t="inlineStr">
        <is>
          <t>VÄRMLANDS LÄN</t>
        </is>
      </c>
      <c r="G185" t="inlineStr">
        <is>
          <t>SÄFFLE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46313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46313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46313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46313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46313</v>
      </c>
      <c r="F190" t="inlineStr">
        <is>
          <t>VÄRMLANDS LÄN</t>
        </is>
      </c>
      <c r="G190" t="inlineStr">
        <is>
          <t>SÄFFLE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44635</v>
      </c>
      <c r="E191" s="1" t="n">
        <v>46313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45659</v>
      </c>
      <c r="E192" s="1" t="n">
        <v>46313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46313</v>
      </c>
      <c r="F193" t="inlineStr">
        <is>
          <t>VÄRMLANDS LÄN</t>
        </is>
      </c>
      <c r="G193" t="inlineStr">
        <is>
          <t>SÄFFLE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46313</v>
      </c>
      <c r="F194" t="inlineStr">
        <is>
          <t>VÄRMLANDS LÄN</t>
        </is>
      </c>
      <c r="G194" t="inlineStr">
        <is>
          <t>SÄFFLE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46313</v>
      </c>
      <c r="F195" t="inlineStr">
        <is>
          <t>VÄRMLANDS LÄN</t>
        </is>
      </c>
      <c r="G195" t="inlineStr">
        <is>
          <t>SÄFFLE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46313</v>
      </c>
      <c r="F196" t="inlineStr">
        <is>
          <t>VÄRMLANDS LÄN</t>
        </is>
      </c>
      <c r="G196" t="inlineStr">
        <is>
          <t>SÄFFLE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46313</v>
      </c>
      <c r="F197" t="inlineStr">
        <is>
          <t>VÄRMLANDS LÄN</t>
        </is>
      </c>
      <c r="G197" t="inlineStr">
        <is>
          <t>SÄFFLE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46313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46313</v>
      </c>
      <c r="F199" t="inlineStr">
        <is>
          <t>VÄRMLANDS LÄN</t>
        </is>
      </c>
      <c r="G199" t="inlineStr">
        <is>
          <t>SÄFFLE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46313</v>
      </c>
      <c r="F200" t="inlineStr">
        <is>
          <t>VÄRMLANDS LÄN</t>
        </is>
      </c>
      <c r="G200" t="inlineStr">
        <is>
          <t>SÄFFLE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46313</v>
      </c>
      <c r="F201" t="inlineStr">
        <is>
          <t>VÄRMLANDS LÄN</t>
        </is>
      </c>
      <c r="G201" t="inlineStr">
        <is>
          <t>SÄFFLE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46313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15632-2024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45403</v>
      </c>
      <c r="E203" s="1" t="n">
        <v>46313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44976</v>
      </c>
      <c r="E204" s="1" t="n">
        <v>46313</v>
      </c>
      <c r="F204" t="inlineStr">
        <is>
          <t>VÄRMLANDS LÄN</t>
        </is>
      </c>
      <c r="G204" t="inlineStr">
        <is>
          <t>SÄFFLE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46313</v>
      </c>
      <c r="F205" t="inlineStr">
        <is>
          <t>VÄRMLANDS LÄN</t>
        </is>
      </c>
      <c r="G205" t="inlineStr">
        <is>
          <t>SÄFFLE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46313</v>
      </c>
      <c r="F206" t="inlineStr">
        <is>
          <t>VÄRMLANDS LÄN</t>
        </is>
      </c>
      <c r="G206" t="inlineStr">
        <is>
          <t>SÄFFLE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46313</v>
      </c>
      <c r="F207" t="inlineStr">
        <is>
          <t>VÄRMLANDS LÄN</t>
        </is>
      </c>
      <c r="G207" t="inlineStr">
        <is>
          <t>SÄFFLE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46313</v>
      </c>
      <c r="F208" t="inlineStr">
        <is>
          <t>VÄRMLANDS LÄN</t>
        </is>
      </c>
      <c r="G208" t="inlineStr">
        <is>
          <t>SÄFFLE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46313</v>
      </c>
      <c r="F209" t="inlineStr">
        <is>
          <t>VÄRMLANDS LÄN</t>
        </is>
      </c>
      <c r="G209" t="inlineStr">
        <is>
          <t>SÄFFLE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3950-2022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44587</v>
      </c>
      <c r="E210" s="1" t="n">
        <v>46313</v>
      </c>
      <c r="F210" t="inlineStr">
        <is>
          <t>VÄRMLANDS LÄN</t>
        </is>
      </c>
      <c r="G210" t="inlineStr">
        <is>
          <t>SÄFFLE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46313</v>
      </c>
      <c r="F211" t="inlineStr">
        <is>
          <t>VÄRMLANDS LÄN</t>
        </is>
      </c>
      <c r="G211" t="inlineStr">
        <is>
          <t>SÄFFLE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46313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44629</v>
      </c>
      <c r="E213" s="1" t="n">
        <v>46313</v>
      </c>
      <c r="F213" t="inlineStr">
        <is>
          <t>VÄRMLANDS LÄN</t>
        </is>
      </c>
      <c r="G213" t="inlineStr">
        <is>
          <t>SÄFFLE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46313</v>
      </c>
      <c r="F214" t="inlineStr">
        <is>
          <t>VÄRMLANDS LÄN</t>
        </is>
      </c>
      <c r="G214" t="inlineStr">
        <is>
          <t>SÄFFLE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46313</v>
      </c>
      <c r="F215" t="inlineStr">
        <is>
          <t>VÄRMLANDS LÄN</t>
        </is>
      </c>
      <c r="G215" t="inlineStr">
        <is>
          <t>SÄFFLE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46313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63745-2021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46313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46313</v>
      </c>
      <c r="F218" t="inlineStr">
        <is>
          <t>VÄRMLANDS LÄN</t>
        </is>
      </c>
      <c r="G218" t="inlineStr">
        <is>
          <t>SÄFFLE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46313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46313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46313</v>
      </c>
      <c r="F221" t="inlineStr">
        <is>
          <t>VÄRMLANDS LÄN</t>
        </is>
      </c>
      <c r="G221" t="inlineStr">
        <is>
          <t>SÄFFLE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46313</v>
      </c>
      <c r="F222" t="inlineStr">
        <is>
          <t>VÄRMLANDS LÄN</t>
        </is>
      </c>
      <c r="G222" t="inlineStr">
        <is>
          <t>SÄFFLE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46313</v>
      </c>
      <c r="F223" t="inlineStr">
        <is>
          <t>VÄRMLANDS LÄN</t>
        </is>
      </c>
      <c r="G223" t="inlineStr">
        <is>
          <t>SÄFFLE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46313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46313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46313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46313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46313</v>
      </c>
      <c r="F228" t="inlineStr">
        <is>
          <t>VÄRMLANDS LÄN</t>
        </is>
      </c>
      <c r="G228" t="inlineStr">
        <is>
          <t>SÄFFLE</t>
        </is>
      </c>
      <c r="H228" t="inlineStr">
        <is>
          <t>Kyrkan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73157-2021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46313</v>
      </c>
      <c r="F229" t="inlineStr">
        <is>
          <t>VÄRMLANDS LÄN</t>
        </is>
      </c>
      <c r="G229" t="inlineStr">
        <is>
          <t>SÄFFLE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46313</v>
      </c>
      <c r="F230" t="inlineStr">
        <is>
          <t>VÄRMLANDS LÄN</t>
        </is>
      </c>
      <c r="G230" t="inlineStr">
        <is>
          <t>SÄFFLE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46313</v>
      </c>
      <c r="F231" t="inlineStr">
        <is>
          <t>VÄRMLANDS LÄN</t>
        </is>
      </c>
      <c r="G231" t="inlineStr">
        <is>
          <t>SÄFFLE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44762</v>
      </c>
      <c r="E232" s="1" t="n">
        <v>46313</v>
      </c>
      <c r="F232" t="inlineStr">
        <is>
          <t>VÄRMLANDS LÄN</t>
        </is>
      </c>
      <c r="G232" t="inlineStr">
        <is>
          <t>SÄFFLE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46313</v>
      </c>
      <c r="F233" t="inlineStr">
        <is>
          <t>VÄRMLANDS LÄN</t>
        </is>
      </c>
      <c r="G233" t="inlineStr">
        <is>
          <t>SÄFFLE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46313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46313</v>
      </c>
      <c r="F235" t="inlineStr">
        <is>
          <t>VÄRMLANDS LÄN</t>
        </is>
      </c>
      <c r="G235" t="inlineStr">
        <is>
          <t>SÄFFLE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46313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46313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46313</v>
      </c>
      <c r="F238" t="inlineStr">
        <is>
          <t>VÄRMLANDS LÄN</t>
        </is>
      </c>
      <c r="G238" t="inlineStr">
        <is>
          <t>SÄFFLE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46313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46313</v>
      </c>
      <c r="F240" t="inlineStr">
        <is>
          <t>VÄRMLANDS LÄN</t>
        </is>
      </c>
      <c r="G240" t="inlineStr">
        <is>
          <t>SÄFFLE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46313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46313</v>
      </c>
      <c r="F242" t="inlineStr">
        <is>
          <t>VÄRMLANDS LÄN</t>
        </is>
      </c>
      <c r="G242" t="inlineStr">
        <is>
          <t>SÄFFLE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46313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46313</v>
      </c>
      <c r="F244" t="inlineStr">
        <is>
          <t>VÄRMLANDS LÄN</t>
        </is>
      </c>
      <c r="G244" t="inlineStr">
        <is>
          <t>SÄFFLE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46313</v>
      </c>
      <c r="F245" t="inlineStr">
        <is>
          <t>VÄRMLANDS LÄN</t>
        </is>
      </c>
      <c r="G245" t="inlineStr">
        <is>
          <t>SÄFFLE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39985-2025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45893</v>
      </c>
      <c r="E246" s="1" t="n">
        <v>46313</v>
      </c>
      <c r="F246" t="inlineStr">
        <is>
          <t>VÄRMLANDS LÄN</t>
        </is>
      </c>
      <c r="G246" t="inlineStr">
        <is>
          <t>SÄFFLE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45893</v>
      </c>
      <c r="E247" s="1" t="n">
        <v>46313</v>
      </c>
      <c r="F247" t="inlineStr">
        <is>
          <t>VÄRMLANDS LÄN</t>
        </is>
      </c>
      <c r="G247" t="inlineStr">
        <is>
          <t>SÄFFLE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39984-2025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45893</v>
      </c>
      <c r="E248" s="1" t="n">
        <v>46313</v>
      </c>
      <c r="F248" t="inlineStr">
        <is>
          <t>VÄRMLANDS LÄN</t>
        </is>
      </c>
      <c r="G248" t="inlineStr">
        <is>
          <t>SÄFFLE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45893</v>
      </c>
      <c r="E249" s="1" t="n">
        <v>46313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46313</v>
      </c>
      <c r="F250" t="inlineStr">
        <is>
          <t>VÄRMLANDS LÄN</t>
        </is>
      </c>
      <c r="G250" t="inlineStr">
        <is>
          <t>SÄFFLE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45481</v>
      </c>
      <c r="E251" s="1" t="n">
        <v>46313</v>
      </c>
      <c r="F251" t="inlineStr">
        <is>
          <t>VÄRMLANDS LÄN</t>
        </is>
      </c>
      <c r="G251" t="inlineStr">
        <is>
          <t>SÄFFLE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46313</v>
      </c>
      <c r="F252" t="inlineStr">
        <is>
          <t>VÄRMLANDS LÄN</t>
        </is>
      </c>
      <c r="G252" t="inlineStr">
        <is>
          <t>SÄFFLE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46313</v>
      </c>
      <c r="F253" t="inlineStr">
        <is>
          <t>VÄRMLANDS LÄN</t>
        </is>
      </c>
      <c r="G253" t="inlineStr">
        <is>
          <t>SÄFFLE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46313</v>
      </c>
      <c r="F254" t="inlineStr">
        <is>
          <t>VÄRMLANDS LÄN</t>
        </is>
      </c>
      <c r="G254" t="inlineStr">
        <is>
          <t>SÄFFLE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46313</v>
      </c>
      <c r="F255" t="inlineStr">
        <is>
          <t>VÄRMLANDS LÄN</t>
        </is>
      </c>
      <c r="G255" t="inlineStr">
        <is>
          <t>SÄFFLE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46313</v>
      </c>
      <c r="F256" t="inlineStr">
        <is>
          <t>VÄRMLANDS LÄN</t>
        </is>
      </c>
      <c r="G256" t="inlineStr">
        <is>
          <t>SÄFFLE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46313</v>
      </c>
      <c r="F257" t="inlineStr">
        <is>
          <t>VÄRMLANDS LÄN</t>
        </is>
      </c>
      <c r="G257" t="inlineStr">
        <is>
          <t>SÄFFLE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46313</v>
      </c>
      <c r="F258" t="inlineStr">
        <is>
          <t>VÄRMLANDS LÄN</t>
        </is>
      </c>
      <c r="G258" t="inlineStr">
        <is>
          <t>SÄFFLE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46313</v>
      </c>
      <c r="F259" t="inlineStr">
        <is>
          <t>VÄRMLANDS LÄN</t>
        </is>
      </c>
      <c r="G259" t="inlineStr">
        <is>
          <t>SÄFFLE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37000-2025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45874</v>
      </c>
      <c r="E260" s="1" t="n">
        <v>46313</v>
      </c>
      <c r="F260" t="inlineStr">
        <is>
          <t>VÄRMLANDS LÄN</t>
        </is>
      </c>
      <c r="G260" t="inlineStr">
        <is>
          <t>SÄFFLE</t>
        </is>
      </c>
      <c r="I260" t="n">
        <v>15.2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46313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46313</v>
      </c>
      <c r="F262" t="inlineStr">
        <is>
          <t>VÄRMLANDS LÄN</t>
        </is>
      </c>
      <c r="G262" t="inlineStr">
        <is>
          <t>SÄFFLE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46313</v>
      </c>
      <c r="F263" t="inlineStr">
        <is>
          <t>VÄRMLANDS LÄN</t>
        </is>
      </c>
      <c r="G263" t="inlineStr">
        <is>
          <t>SÄFFLE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45704</v>
      </c>
      <c r="E264" s="1" t="n">
        <v>46313</v>
      </c>
      <c r="F264" t="inlineStr">
        <is>
          <t>VÄRMLANDS LÄN</t>
        </is>
      </c>
      <c r="G264" t="inlineStr">
        <is>
          <t>SÄFFLE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46313</v>
      </c>
      <c r="F265" t="inlineStr">
        <is>
          <t>VÄRMLANDS LÄN</t>
        </is>
      </c>
      <c r="G265" t="inlineStr">
        <is>
          <t>SÄFFLE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46313</v>
      </c>
      <c r="F266" t="inlineStr">
        <is>
          <t>VÄRMLANDS LÄN</t>
        </is>
      </c>
      <c r="G266" t="inlineStr">
        <is>
          <t>SÄFFLE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46313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46313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46313</v>
      </c>
      <c r="F269" t="inlineStr">
        <is>
          <t>VÄRMLANDS LÄN</t>
        </is>
      </c>
      <c r="G269" t="inlineStr">
        <is>
          <t>SÄFFLE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46313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46313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45418</v>
      </c>
      <c r="E272" s="1" t="n">
        <v>46313</v>
      </c>
      <c r="F272" t="inlineStr">
        <is>
          <t>VÄRMLANDS LÄN</t>
        </is>
      </c>
      <c r="G272" t="inlineStr">
        <is>
          <t>SÄFFLE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46313</v>
      </c>
      <c r="F273" t="inlineStr">
        <is>
          <t>VÄRMLANDS LÄN</t>
        </is>
      </c>
      <c r="G273" t="inlineStr">
        <is>
          <t>SÄFFLE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53788-2022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44880</v>
      </c>
      <c r="E274" s="1" t="n">
        <v>46313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63985-2023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46313</v>
      </c>
      <c r="F275" t="inlineStr">
        <is>
          <t>VÄRMLANDS LÄN</t>
        </is>
      </c>
      <c r="G275" t="inlineStr">
        <is>
          <t>SÄFFLE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46313</v>
      </c>
      <c r="F276" t="inlineStr">
        <is>
          <t>VÄRMLANDS LÄN</t>
        </is>
      </c>
      <c r="G276" t="inlineStr">
        <is>
          <t>SÄFFLE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46313</v>
      </c>
      <c r="F277" t="inlineStr">
        <is>
          <t>VÄRMLANDS LÄN</t>
        </is>
      </c>
      <c r="G277" t="inlineStr">
        <is>
          <t>SÄFFLE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46313</v>
      </c>
      <c r="F278" t="inlineStr">
        <is>
          <t>VÄRMLANDS LÄN</t>
        </is>
      </c>
      <c r="G278" t="inlineStr">
        <is>
          <t>SÄFFLE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46313</v>
      </c>
      <c r="F279" t="inlineStr">
        <is>
          <t>VÄRMLANDS LÄN</t>
        </is>
      </c>
      <c r="G279" t="inlineStr">
        <is>
          <t>SÄFFLE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46313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46313</v>
      </c>
      <c r="F281" t="inlineStr">
        <is>
          <t>VÄRMLANDS LÄN</t>
        </is>
      </c>
      <c r="G281" t="inlineStr">
        <is>
          <t>SÄFFLE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46313</v>
      </c>
      <c r="F282" t="inlineStr">
        <is>
          <t>VÄRMLANDS LÄN</t>
        </is>
      </c>
      <c r="G282" t="inlineStr">
        <is>
          <t>SÄFFLE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46313</v>
      </c>
      <c r="F283" t="inlineStr">
        <is>
          <t>VÄRMLANDS LÄN</t>
        </is>
      </c>
      <c r="G283" t="inlineStr">
        <is>
          <t>SÄFFLE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46313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46313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46313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46313</v>
      </c>
      <c r="F287" t="inlineStr">
        <is>
          <t>VÄRMLANDS LÄN</t>
        </is>
      </c>
      <c r="G287" t="inlineStr">
        <is>
          <t>SÄFFLE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46313</v>
      </c>
      <c r="F288" t="inlineStr">
        <is>
          <t>VÄRMLANDS LÄN</t>
        </is>
      </c>
      <c r="G288" t="inlineStr">
        <is>
          <t>SÄFFLE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43209-2025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45910</v>
      </c>
      <c r="E289" s="1" t="n">
        <v>46313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46313</v>
      </c>
      <c r="F290" t="inlineStr">
        <is>
          <t>VÄRMLANDS LÄN</t>
        </is>
      </c>
      <c r="G290" t="inlineStr">
        <is>
          <t>SÄFFLE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46313</v>
      </c>
      <c r="F291" t="inlineStr">
        <is>
          <t>VÄRMLANDS LÄN</t>
        </is>
      </c>
      <c r="G291" t="inlineStr">
        <is>
          <t>SÄFFLE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46313</v>
      </c>
      <c r="F292" t="inlineStr">
        <is>
          <t>VÄRMLANDS LÄN</t>
        </is>
      </c>
      <c r="G292" t="inlineStr">
        <is>
          <t>SÄFFLE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46313</v>
      </c>
      <c r="F293" t="inlineStr">
        <is>
          <t>VÄRMLANDS LÄN</t>
        </is>
      </c>
      <c r="G293" t="inlineStr">
        <is>
          <t>SÄFFLE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46313</v>
      </c>
      <c r="F294" t="inlineStr">
        <is>
          <t>VÄRMLANDS LÄN</t>
        </is>
      </c>
      <c r="G294" t="inlineStr">
        <is>
          <t>SÄFFLE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46313</v>
      </c>
      <c r="F295" t="inlineStr">
        <is>
          <t>VÄRMLANDS LÄN</t>
        </is>
      </c>
      <c r="G295" t="inlineStr">
        <is>
          <t>SÄFFLE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46313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46313</v>
      </c>
      <c r="F297" t="inlineStr">
        <is>
          <t>VÄRMLANDS LÄN</t>
        </is>
      </c>
      <c r="G297" t="inlineStr">
        <is>
          <t>SÄFFLE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46313</v>
      </c>
      <c r="F298" t="inlineStr">
        <is>
          <t>VÄRMLANDS LÄN</t>
        </is>
      </c>
      <c r="G298" t="inlineStr">
        <is>
          <t>SÄFFLE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45391</v>
      </c>
      <c r="E299" s="1" t="n">
        <v>46313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46313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45723</v>
      </c>
      <c r="E301" s="1" t="n">
        <v>46313</v>
      </c>
      <c r="F301" t="inlineStr">
        <is>
          <t>VÄRMLANDS LÄN</t>
        </is>
      </c>
      <c r="G301" t="inlineStr">
        <is>
          <t>SÄFFLE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46313</v>
      </c>
      <c r="F302" t="inlineStr">
        <is>
          <t>VÄRMLANDS LÄN</t>
        </is>
      </c>
      <c r="G302" t="inlineStr">
        <is>
          <t>SÄFFLE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46313</v>
      </c>
      <c r="F303" t="inlineStr">
        <is>
          <t>VÄRMLANDS LÄN</t>
        </is>
      </c>
      <c r="G303" t="inlineStr">
        <is>
          <t>SÄFFLE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45480-2024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45576</v>
      </c>
      <c r="E304" s="1" t="n">
        <v>46313</v>
      </c>
      <c r="F304" t="inlineStr">
        <is>
          <t>VÄRMLANDS LÄN</t>
        </is>
      </c>
      <c r="G304" t="inlineStr">
        <is>
          <t>SÄFFLE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46313</v>
      </c>
      <c r="F305" t="inlineStr">
        <is>
          <t>VÄRMLANDS LÄN</t>
        </is>
      </c>
      <c r="G305" t="inlineStr">
        <is>
          <t>SÄFFLE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46149</v>
      </c>
      <c r="E306" s="1" t="n">
        <v>46313</v>
      </c>
      <c r="F306" t="inlineStr">
        <is>
          <t>VÄRMLANDS LÄN</t>
        </is>
      </c>
      <c r="G306" t="inlineStr">
        <is>
          <t>SÄFFLE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46313</v>
      </c>
      <c r="F307" t="inlineStr">
        <is>
          <t>VÄRMLANDS LÄN</t>
        </is>
      </c>
      <c r="G307" t="inlineStr">
        <is>
          <t>SÄFFLE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46313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46391-2025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45925</v>
      </c>
      <c r="E309" s="1" t="n">
        <v>46313</v>
      </c>
      <c r="F309" t="inlineStr">
        <is>
          <t>VÄRMLANDS LÄN</t>
        </is>
      </c>
      <c r="G309" t="inlineStr">
        <is>
          <t>SÄFFLE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46313</v>
      </c>
      <c r="F310" t="inlineStr">
        <is>
          <t>VÄRMLANDS LÄN</t>
        </is>
      </c>
      <c r="G310" t="inlineStr">
        <is>
          <t>SÄFFLE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46313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46313</v>
      </c>
      <c r="F312" t="inlineStr">
        <is>
          <t>VÄRMLANDS LÄN</t>
        </is>
      </c>
      <c r="G312" t="inlineStr">
        <is>
          <t>SÄFFLE</t>
        </is>
      </c>
      <c r="H312" t="inlineStr">
        <is>
          <t>Kommuner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44916</v>
      </c>
      <c r="E313" s="1" t="n">
        <v>46313</v>
      </c>
      <c r="F313" t="inlineStr">
        <is>
          <t>VÄRMLANDS LÄN</t>
        </is>
      </c>
      <c r="G313" t="inlineStr">
        <is>
          <t>SÄFFLE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46313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16494-2022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44671</v>
      </c>
      <c r="E315" s="1" t="n">
        <v>46313</v>
      </c>
      <c r="F315" t="inlineStr">
        <is>
          <t>VÄRMLANDS LÄN</t>
        </is>
      </c>
      <c r="G315" t="inlineStr">
        <is>
          <t>SÄFFLE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46313</v>
      </c>
      <c r="F316" t="inlineStr">
        <is>
          <t>VÄRMLANDS LÄN</t>
        </is>
      </c>
      <c r="G316" t="inlineStr">
        <is>
          <t>SÄFFLE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44607</v>
      </c>
      <c r="E317" s="1" t="n">
        <v>46313</v>
      </c>
      <c r="F317" t="inlineStr">
        <is>
          <t>VÄRMLANDS LÄN</t>
        </is>
      </c>
      <c r="G317" t="inlineStr">
        <is>
          <t>SÄFFLE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45358</v>
      </c>
      <c r="E318" s="1" t="n">
        <v>46313</v>
      </c>
      <c r="F318" t="inlineStr">
        <is>
          <t>VÄRMLANDS LÄN</t>
        </is>
      </c>
      <c r="G318" t="inlineStr">
        <is>
          <t>SÄFFLE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46313</v>
      </c>
      <c r="F319" t="inlineStr">
        <is>
          <t>VÄRMLANDS LÄN</t>
        </is>
      </c>
      <c r="G319" t="inlineStr">
        <is>
          <t>SÄFFLE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46313</v>
      </c>
      <c r="F320" t="inlineStr">
        <is>
          <t>VÄRMLANDS LÄN</t>
        </is>
      </c>
      <c r="G320" t="inlineStr">
        <is>
          <t>SÄFFLE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46313</v>
      </c>
      <c r="F321" t="inlineStr">
        <is>
          <t>VÄRMLANDS LÄN</t>
        </is>
      </c>
      <c r="G321" t="inlineStr">
        <is>
          <t>SÄFFLE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46313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46313</v>
      </c>
      <c r="F323" t="inlineStr">
        <is>
          <t>VÄRMLANDS LÄN</t>
        </is>
      </c>
      <c r="G323" t="inlineStr">
        <is>
          <t>SÄFFLE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64366-2023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45278</v>
      </c>
      <c r="E324" s="1" t="n">
        <v>46313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46313</v>
      </c>
      <c r="F325" t="inlineStr">
        <is>
          <t>VÄRMLANDS LÄN</t>
        </is>
      </c>
      <c r="G325" t="inlineStr">
        <is>
          <t>SÄFFLE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46313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46313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46313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46313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45342</v>
      </c>
      <c r="E330" s="1" t="n">
        <v>46313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44580</v>
      </c>
      <c r="E331" s="1" t="n">
        <v>46313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46313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44564</v>
      </c>
      <c r="E333" s="1" t="n">
        <v>46313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45237</v>
      </c>
      <c r="E334" s="1" t="n">
        <v>46313</v>
      </c>
      <c r="F334" t="inlineStr">
        <is>
          <t>VÄRMLANDS LÄN</t>
        </is>
      </c>
      <c r="G334" t="inlineStr">
        <is>
          <t>SÄFFLE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45677</v>
      </c>
      <c r="E335" s="1" t="n">
        <v>46313</v>
      </c>
      <c r="F335" t="inlineStr">
        <is>
          <t>VÄRMLANDS LÄN</t>
        </is>
      </c>
      <c r="G335" t="inlineStr">
        <is>
          <t>SÄFFLE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46313</v>
      </c>
      <c r="F336" t="inlineStr">
        <is>
          <t>VÄRMLANDS LÄN</t>
        </is>
      </c>
      <c r="G336" t="inlineStr">
        <is>
          <t>SÄFFLE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32386-2025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45837</v>
      </c>
      <c r="E337" s="1" t="n">
        <v>46313</v>
      </c>
      <c r="F337" t="inlineStr">
        <is>
          <t>VÄRMLANDS LÄN</t>
        </is>
      </c>
      <c r="G337" t="inlineStr">
        <is>
          <t>SÄFFLE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51269-2025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45949</v>
      </c>
      <c r="E338" s="1" t="n">
        <v>46313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46313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45379</v>
      </c>
      <c r="E340" s="1" t="n">
        <v>46313</v>
      </c>
      <c r="F340" t="inlineStr">
        <is>
          <t>VÄRMLANDS LÄN</t>
        </is>
      </c>
      <c r="G340" t="inlineStr">
        <is>
          <t>SÄFFLE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45249</v>
      </c>
      <c r="E341" s="1" t="n">
        <v>46313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46313</v>
      </c>
      <c r="F342" t="inlineStr">
        <is>
          <t>VÄRMLANDS LÄN</t>
        </is>
      </c>
      <c r="G342" t="inlineStr">
        <is>
          <t>SÄFFLE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46313</v>
      </c>
      <c r="F343" t="inlineStr">
        <is>
          <t>VÄRMLANDS LÄN</t>
        </is>
      </c>
      <c r="G343" t="inlineStr">
        <is>
          <t>SÄFFLE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44663</v>
      </c>
      <c r="E344" s="1" t="n">
        <v>46313</v>
      </c>
      <c r="F344" t="inlineStr">
        <is>
          <t>VÄRMLANDS LÄN</t>
        </is>
      </c>
      <c r="G344" t="inlineStr">
        <is>
          <t>SÄFFLE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46313</v>
      </c>
      <c r="F345" t="inlineStr">
        <is>
          <t>VÄRMLANDS LÄN</t>
        </is>
      </c>
      <c r="G345" t="inlineStr">
        <is>
          <t>SÄFFLE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46313</v>
      </c>
      <c r="F346" t="inlineStr">
        <is>
          <t>VÄRMLANDS LÄN</t>
        </is>
      </c>
      <c r="G346" t="inlineStr">
        <is>
          <t>SÄFFLE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45471</v>
      </c>
      <c r="E347" s="1" t="n">
        <v>46313</v>
      </c>
      <c r="F347" t="inlineStr">
        <is>
          <t>VÄRMLANDS LÄN</t>
        </is>
      </c>
      <c r="G347" t="inlineStr">
        <is>
          <t>SÄFFLE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46313</v>
      </c>
      <c r="F348" t="inlineStr">
        <is>
          <t>VÄRMLANDS LÄN</t>
        </is>
      </c>
      <c r="G348" t="inlineStr">
        <is>
          <t>SÄFFLE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45542</v>
      </c>
      <c r="E349" s="1" t="n">
        <v>46313</v>
      </c>
      <c r="F349" t="inlineStr">
        <is>
          <t>VÄRMLANDS LÄN</t>
        </is>
      </c>
      <c r="G349" t="inlineStr">
        <is>
          <t>SÄFFLE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46313</v>
      </c>
      <c r="F350" t="inlineStr">
        <is>
          <t>VÄRMLANDS LÄN</t>
        </is>
      </c>
      <c r="G350" t="inlineStr">
        <is>
          <t>SÄFFLE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46313</v>
      </c>
      <c r="F351" t="inlineStr">
        <is>
          <t>VÄRMLANDS LÄN</t>
        </is>
      </c>
      <c r="G351" t="inlineStr">
        <is>
          <t>SÄFFLE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46313</v>
      </c>
      <c r="F352" t="inlineStr">
        <is>
          <t>VÄRMLANDS LÄN</t>
        </is>
      </c>
      <c r="G352" t="inlineStr">
        <is>
          <t>SÄFFLE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73355-2021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44550</v>
      </c>
      <c r="E353" s="1" t="n">
        <v>46313</v>
      </c>
      <c r="F353" t="inlineStr">
        <is>
          <t>VÄRMLANDS LÄN</t>
        </is>
      </c>
      <c r="G353" t="inlineStr">
        <is>
          <t>SÄFFLE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45527</v>
      </c>
      <c r="E354" s="1" t="n">
        <v>46313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46313</v>
      </c>
      <c r="F355" t="inlineStr">
        <is>
          <t>VÄRMLANDS LÄN</t>
        </is>
      </c>
      <c r="G355" t="inlineStr">
        <is>
          <t>SÄFFLE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46313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46313</v>
      </c>
      <c r="F357" t="inlineStr">
        <is>
          <t>VÄRMLANDS LÄN</t>
        </is>
      </c>
      <c r="G357" t="inlineStr">
        <is>
          <t>SÄFFLE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46313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46313</v>
      </c>
      <c r="F359" t="inlineStr">
        <is>
          <t>VÄRMLANDS LÄN</t>
        </is>
      </c>
      <c r="G359" t="inlineStr">
        <is>
          <t>SÄFFLE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46313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46313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46313</v>
      </c>
      <c r="F362" t="inlineStr">
        <is>
          <t>VÄRMLANDS LÄN</t>
        </is>
      </c>
      <c r="G362" t="inlineStr">
        <is>
          <t>SÄFFLE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41804-2023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45176</v>
      </c>
      <c r="E363" s="1" t="n">
        <v>46313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45975</v>
      </c>
      <c r="E364" s="1" t="n">
        <v>46313</v>
      </c>
      <c r="F364" t="inlineStr">
        <is>
          <t>VÄRMLANDS LÄN</t>
        </is>
      </c>
      <c r="G364" t="inlineStr">
        <is>
          <t>SÄFFLE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45367</v>
      </c>
      <c r="E365" s="1" t="n">
        <v>46313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57008-2025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45977</v>
      </c>
      <c r="E366" s="1" t="n">
        <v>46313</v>
      </c>
      <c r="F366" t="inlineStr">
        <is>
          <t>VÄRMLANDS LÄN</t>
        </is>
      </c>
      <c r="G366" t="inlineStr">
        <is>
          <t>SÄFFLE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46313</v>
      </c>
      <c r="F367" t="inlineStr">
        <is>
          <t>VÄRMLANDS LÄN</t>
        </is>
      </c>
      <c r="G367" t="inlineStr">
        <is>
          <t>SÄFFLE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46313</v>
      </c>
      <c r="F368" t="inlineStr">
        <is>
          <t>VÄRMLANDS LÄN</t>
        </is>
      </c>
      <c r="G368" t="inlineStr">
        <is>
          <t>SÄFFLE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46313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46313</v>
      </c>
      <c r="F370" t="inlineStr">
        <is>
          <t>VÄRMLANDS LÄN</t>
        </is>
      </c>
      <c r="G370" t="inlineStr">
        <is>
          <t>SÄFFLE</t>
        </is>
      </c>
      <c r="I370" t="n">
        <v>29.5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46313</v>
      </c>
      <c r="F371" t="inlineStr">
        <is>
          <t>VÄRMLANDS LÄN</t>
        </is>
      </c>
      <c r="G371" t="inlineStr">
        <is>
          <t>SÄFFLE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46313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46313</v>
      </c>
      <c r="F373" t="inlineStr">
        <is>
          <t>VÄRMLANDS LÄN</t>
        </is>
      </c>
      <c r="G373" t="inlineStr">
        <is>
          <t>SÄFFLE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45439</v>
      </c>
      <c r="E374" s="1" t="n">
        <v>46313</v>
      </c>
      <c r="F374" t="inlineStr">
        <is>
          <t>VÄRMLANDS LÄN</t>
        </is>
      </c>
      <c r="G374" t="inlineStr">
        <is>
          <t>SÄFFLE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46313</v>
      </c>
      <c r="F375" t="inlineStr">
        <is>
          <t>VÄRMLANDS LÄN</t>
        </is>
      </c>
      <c r="G375" t="inlineStr">
        <is>
          <t>SÄFFLE</t>
        </is>
      </c>
      <c r="I375" t="n">
        <v>11.9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46313</v>
      </c>
      <c r="F376" t="inlineStr">
        <is>
          <t>VÄRMLANDS LÄN</t>
        </is>
      </c>
      <c r="G376" t="inlineStr">
        <is>
          <t>SÄFFLE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44777</v>
      </c>
      <c r="E377" s="1" t="n">
        <v>46313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46313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46313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46313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23667-2026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46313</v>
      </c>
      <c r="F381" t="inlineStr">
        <is>
          <t>VÄRMLANDS LÄN</t>
        </is>
      </c>
      <c r="G381" t="inlineStr">
        <is>
          <t>SÄFFLE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46313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46313</v>
      </c>
      <c r="F383" t="inlineStr">
        <is>
          <t>VÄRMLANDS LÄN</t>
        </is>
      </c>
      <c r="G383" t="inlineStr">
        <is>
          <t>SÄFFLE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46313</v>
      </c>
      <c r="F384" t="inlineStr">
        <is>
          <t>VÄRMLANDS LÄN</t>
        </is>
      </c>
      <c r="G384" t="inlineStr">
        <is>
          <t>SÄFFLE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46313</v>
      </c>
      <c r="F385" t="inlineStr">
        <is>
          <t>VÄRMLANDS LÄN</t>
        </is>
      </c>
      <c r="G385" t="inlineStr">
        <is>
          <t>SÄFFLE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46313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46313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46313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46313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46313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45394</v>
      </c>
      <c r="E391" s="1" t="n">
        <v>46313</v>
      </c>
      <c r="F391" t="inlineStr">
        <is>
          <t>VÄRMLANDS LÄN</t>
        </is>
      </c>
      <c r="G391" t="inlineStr">
        <is>
          <t>SÄFFLE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46313</v>
      </c>
      <c r="F392" t="inlineStr">
        <is>
          <t>VÄRMLANDS LÄN</t>
        </is>
      </c>
      <c r="G392" t="inlineStr">
        <is>
          <t>SÄFFLE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46313</v>
      </c>
      <c r="F393" t="inlineStr">
        <is>
          <t>VÄRMLANDS LÄN</t>
        </is>
      </c>
      <c r="G393" t="inlineStr">
        <is>
          <t>SÄFFLE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45146</v>
      </c>
      <c r="E394" s="1" t="n">
        <v>46313</v>
      </c>
      <c r="F394" t="inlineStr">
        <is>
          <t>VÄRMLANDS LÄN</t>
        </is>
      </c>
      <c r="G394" t="inlineStr">
        <is>
          <t>SÄFFLE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46313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46313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44678</v>
      </c>
      <c r="E397" s="1" t="n">
        <v>46313</v>
      </c>
      <c r="F397" t="inlineStr">
        <is>
          <t>VÄRMLANDS LÄN</t>
        </is>
      </c>
      <c r="G397" t="inlineStr">
        <is>
          <t>SÄFFLE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46313</v>
      </c>
      <c r="F398" t="inlineStr">
        <is>
          <t>VÄRMLANDS LÄN</t>
        </is>
      </c>
      <c r="G398" t="inlineStr">
        <is>
          <t>SÄFFLE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46313</v>
      </c>
      <c r="F399" t="inlineStr">
        <is>
          <t>VÄRMLANDS LÄN</t>
        </is>
      </c>
      <c r="G399" t="inlineStr">
        <is>
          <t>SÄFFLE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17916-2024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45419</v>
      </c>
      <c r="E400" s="1" t="n">
        <v>46313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46313</v>
      </c>
      <c r="F401" t="inlineStr">
        <is>
          <t>VÄRMLANDS LÄN</t>
        </is>
      </c>
      <c r="G401" t="inlineStr">
        <is>
          <t>SÄFFLE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46313</v>
      </c>
      <c r="F402" t="inlineStr">
        <is>
          <t>VÄRMLANDS LÄN</t>
        </is>
      </c>
      <c r="G402" t="inlineStr">
        <is>
          <t>SÄFFLE</t>
        </is>
      </c>
      <c r="H402" t="inlineStr">
        <is>
          <t>Kyrkan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46313</v>
      </c>
      <c r="F403" t="inlineStr">
        <is>
          <t>VÄRMLANDS LÄN</t>
        </is>
      </c>
      <c r="G403" t="inlineStr">
        <is>
          <t>SÄFFLE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46313</v>
      </c>
      <c r="F404" t="inlineStr">
        <is>
          <t>VÄRMLANDS LÄN</t>
        </is>
      </c>
      <c r="G404" t="inlineStr">
        <is>
          <t>SÄFFLE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46313</v>
      </c>
      <c r="F405" t="inlineStr">
        <is>
          <t>VÄRMLANDS LÄN</t>
        </is>
      </c>
      <c r="G405" t="inlineStr">
        <is>
          <t>SÄFFLE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46313</v>
      </c>
      <c r="F406" t="inlineStr">
        <is>
          <t>VÄRMLANDS LÄN</t>
        </is>
      </c>
      <c r="G406" t="inlineStr">
        <is>
          <t>SÄFFLE</t>
        </is>
      </c>
      <c r="H406" t="inlineStr">
        <is>
          <t>Kommuner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46313</v>
      </c>
      <c r="F407" t="inlineStr">
        <is>
          <t>VÄRMLANDS LÄN</t>
        </is>
      </c>
      <c r="G407" t="inlineStr">
        <is>
          <t>SÄFFLE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46313</v>
      </c>
      <c r="F408" t="inlineStr">
        <is>
          <t>VÄRMLANDS LÄN</t>
        </is>
      </c>
      <c r="G408" t="inlineStr">
        <is>
          <t>SÄFFLE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46313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46313</v>
      </c>
      <c r="F410" t="inlineStr">
        <is>
          <t>VÄRMLANDS LÄN</t>
        </is>
      </c>
      <c r="G410" t="inlineStr">
        <is>
          <t>SÄFFLE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46313</v>
      </c>
      <c r="F411" t="inlineStr">
        <is>
          <t>VÄRMLANDS LÄN</t>
        </is>
      </c>
      <c r="G411" t="inlineStr">
        <is>
          <t>SÄFFLE</t>
        </is>
      </c>
      <c r="H411" t="inlineStr">
        <is>
          <t>Kommuner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46313</v>
      </c>
      <c r="F412" t="inlineStr">
        <is>
          <t>VÄRMLANDS LÄN</t>
        </is>
      </c>
      <c r="G412" t="inlineStr">
        <is>
          <t>SÄFFLE</t>
        </is>
      </c>
      <c r="I412" t="n">
        <v>11.1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46313</v>
      </c>
      <c r="F413" t="inlineStr">
        <is>
          <t>VÄRMLANDS LÄN</t>
        </is>
      </c>
      <c r="G413" t="inlineStr">
        <is>
          <t>SÄFFLE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45611</v>
      </c>
      <c r="E414" s="1" t="n">
        <v>46313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63787-2021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46313</v>
      </c>
      <c r="F415" t="inlineStr">
        <is>
          <t>VÄRMLANDS LÄN</t>
        </is>
      </c>
      <c r="G415" t="inlineStr">
        <is>
          <t>SÄFFLE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62119-2025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46006</v>
      </c>
      <c r="E416" s="1" t="n">
        <v>46313</v>
      </c>
      <c r="F416" t="inlineStr">
        <is>
          <t>VÄRMLANDS LÄN</t>
        </is>
      </c>
      <c r="G416" t="inlineStr">
        <is>
          <t>SÄFFLE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46313</v>
      </c>
      <c r="F417" t="inlineStr">
        <is>
          <t>VÄRMLANDS LÄN</t>
        </is>
      </c>
      <c r="G417" t="inlineStr">
        <is>
          <t>SÄFFLE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46313</v>
      </c>
      <c r="F418" t="inlineStr">
        <is>
          <t>VÄRMLANDS LÄN</t>
        </is>
      </c>
      <c r="G418" t="inlineStr">
        <is>
          <t>SÄFFLE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46313</v>
      </c>
      <c r="F419" t="inlineStr">
        <is>
          <t>VÄRMLANDS LÄN</t>
        </is>
      </c>
      <c r="G419" t="inlineStr">
        <is>
          <t>SÄFFLE</t>
        </is>
      </c>
      <c r="H419" t="inlineStr">
        <is>
          <t>Kommuner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63171-2025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46313</v>
      </c>
      <c r="F420" t="inlineStr">
        <is>
          <t>VÄRMLANDS LÄN</t>
        </is>
      </c>
      <c r="G420" t="inlineStr">
        <is>
          <t>SÄFFLE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45425</v>
      </c>
      <c r="E421" s="1" t="n">
        <v>46313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46313</v>
      </c>
      <c r="F422" t="inlineStr">
        <is>
          <t>VÄRMLANDS LÄN</t>
        </is>
      </c>
      <c r="G422" t="inlineStr">
        <is>
          <t>SÄFFLE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46313</v>
      </c>
      <c r="F423" t="inlineStr">
        <is>
          <t>VÄRMLANDS LÄN</t>
        </is>
      </c>
      <c r="G423" t="inlineStr">
        <is>
          <t>SÄFFLE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45006</v>
      </c>
      <c r="E424" s="1" t="n">
        <v>46313</v>
      </c>
      <c r="F424" t="inlineStr">
        <is>
          <t>VÄRMLANDS LÄN</t>
        </is>
      </c>
      <c r="G424" t="inlineStr">
        <is>
          <t>SÄFFLE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46313</v>
      </c>
      <c r="F425" t="inlineStr">
        <is>
          <t>VÄRMLANDS LÄN</t>
        </is>
      </c>
      <c r="G425" t="inlineStr">
        <is>
          <t>SÄFFLE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46313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46313</v>
      </c>
      <c r="F427" t="inlineStr">
        <is>
          <t>VÄRMLANDS LÄN</t>
        </is>
      </c>
      <c r="G427" t="inlineStr">
        <is>
          <t>SÄFFLE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46313</v>
      </c>
      <c r="F428" t="inlineStr">
        <is>
          <t>VÄRMLANDS LÄN</t>
        </is>
      </c>
      <c r="G428" t="inlineStr">
        <is>
          <t>SÄFFLE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44813</v>
      </c>
      <c r="E429" s="1" t="n">
        <v>46313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46313</v>
      </c>
      <c r="F430" t="inlineStr">
        <is>
          <t>VÄRMLANDS LÄN</t>
        </is>
      </c>
      <c r="G430" t="inlineStr">
        <is>
          <t>SÄFFLE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46313</v>
      </c>
      <c r="F431" t="inlineStr">
        <is>
          <t>VÄRMLANDS LÄN</t>
        </is>
      </c>
      <c r="G431" t="inlineStr">
        <is>
          <t>SÄFFLE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46313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46313</v>
      </c>
      <c r="F433" t="inlineStr">
        <is>
          <t>VÄRMLANDS LÄN</t>
        </is>
      </c>
      <c r="G433" t="inlineStr">
        <is>
          <t>SÄFFLE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46313</v>
      </c>
      <c r="F434" t="inlineStr">
        <is>
          <t>VÄRMLANDS LÄN</t>
        </is>
      </c>
      <c r="G434" t="inlineStr">
        <is>
          <t>SÄFFLE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46313</v>
      </c>
      <c r="F435" t="inlineStr">
        <is>
          <t>VÄRMLANDS LÄN</t>
        </is>
      </c>
      <c r="G435" t="inlineStr">
        <is>
          <t>SÄFFLE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46313</v>
      </c>
      <c r="F436" t="inlineStr">
        <is>
          <t>VÄRMLANDS LÄN</t>
        </is>
      </c>
      <c r="G436" t="inlineStr">
        <is>
          <t>SÄFFLE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46313</v>
      </c>
      <c r="F437" t="inlineStr">
        <is>
          <t>VÄRMLANDS LÄN</t>
        </is>
      </c>
      <c r="G437" t="inlineStr">
        <is>
          <t>SÄFFLE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46313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46313</v>
      </c>
      <c r="F439" t="inlineStr">
        <is>
          <t>VÄRMLANDS LÄN</t>
        </is>
      </c>
      <c r="G439" t="inlineStr">
        <is>
          <t>SÄFFLE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46313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46313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46313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46313</v>
      </c>
      <c r="F443" t="inlineStr">
        <is>
          <t>VÄRMLANDS LÄN</t>
        </is>
      </c>
      <c r="G443" t="inlineStr">
        <is>
          <t>SÄFFLE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46313</v>
      </c>
      <c r="F444" t="inlineStr">
        <is>
          <t>VÄRMLANDS LÄN</t>
        </is>
      </c>
      <c r="G444" t="inlineStr">
        <is>
          <t>SÄFFLE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20322-2025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45775</v>
      </c>
      <c r="E445" s="1" t="n">
        <v>46313</v>
      </c>
      <c r="F445" t="inlineStr">
        <is>
          <t>VÄRMLANDS LÄN</t>
        </is>
      </c>
      <c r="G445" t="inlineStr">
        <is>
          <t>SÄFFLE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45522</v>
      </c>
      <c r="E446" s="1" t="n">
        <v>46313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46045</v>
      </c>
      <c r="E447" s="1" t="n">
        <v>46313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46313</v>
      </c>
      <c r="F448" t="inlineStr">
        <is>
          <t>VÄRMLANDS LÄN</t>
        </is>
      </c>
      <c r="G448" t="inlineStr">
        <is>
          <t>SÄFFLE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46313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46313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46045</v>
      </c>
      <c r="E451" s="1" t="n">
        <v>46313</v>
      </c>
      <c r="F451" t="inlineStr">
        <is>
          <t>VÄRMLANDS LÄN</t>
        </is>
      </c>
      <c r="G451" t="inlineStr">
        <is>
          <t>SÄFFLE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46313</v>
      </c>
      <c r="F452" t="inlineStr">
        <is>
          <t>VÄRMLANDS LÄN</t>
        </is>
      </c>
      <c r="G452" t="inlineStr">
        <is>
          <t>SÄFFLE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46046</v>
      </c>
      <c r="E453" s="1" t="n">
        <v>46313</v>
      </c>
      <c r="F453" t="inlineStr">
        <is>
          <t>VÄRMLANDS LÄN</t>
        </is>
      </c>
      <c r="G453" t="inlineStr">
        <is>
          <t>SÄFFLE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46313</v>
      </c>
      <c r="F454" t="inlineStr">
        <is>
          <t>VÄRMLANDS LÄN</t>
        </is>
      </c>
      <c r="G454" t="inlineStr">
        <is>
          <t>SÄFFLE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46313</v>
      </c>
      <c r="F455" t="inlineStr">
        <is>
          <t>VÄRMLANDS LÄN</t>
        </is>
      </c>
      <c r="G455" t="inlineStr">
        <is>
          <t>SÄFFLE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46313</v>
      </c>
      <c r="F456" t="inlineStr">
        <is>
          <t>VÄRMLANDS LÄN</t>
        </is>
      </c>
      <c r="G456" t="inlineStr">
        <is>
          <t>SÄFFLE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46313</v>
      </c>
      <c r="F457" t="inlineStr">
        <is>
          <t>VÄRMLANDS LÄN</t>
        </is>
      </c>
      <c r="G457" t="inlineStr">
        <is>
          <t>SÄFFLE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46313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46313</v>
      </c>
      <c r="F459" t="inlineStr">
        <is>
          <t>VÄRMLANDS LÄN</t>
        </is>
      </c>
      <c r="G459" t="inlineStr">
        <is>
          <t>SÄFFLE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19385-2024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45428</v>
      </c>
      <c r="E460" s="1" t="n">
        <v>46313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46313</v>
      </c>
      <c r="F461" t="inlineStr">
        <is>
          <t>VÄRMLANDS LÄN</t>
        </is>
      </c>
      <c r="G461" t="inlineStr">
        <is>
          <t>SÄFFLE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39148-2024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46313</v>
      </c>
      <c r="F462" t="inlineStr">
        <is>
          <t>VÄRMLANDS LÄN</t>
        </is>
      </c>
      <c r="G462" t="inlineStr">
        <is>
          <t>SÄFFLE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46313</v>
      </c>
      <c r="F463" t="inlineStr">
        <is>
          <t>VÄRMLANDS LÄN</t>
        </is>
      </c>
      <c r="G463" t="inlineStr">
        <is>
          <t>SÄFFLE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45439</v>
      </c>
      <c r="E464" s="1" t="n">
        <v>46313</v>
      </c>
      <c r="F464" t="inlineStr">
        <is>
          <t>VÄRMLANDS LÄN</t>
        </is>
      </c>
      <c r="G464" t="inlineStr">
        <is>
          <t>SÄFFLE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46313</v>
      </c>
      <c r="F465" t="inlineStr">
        <is>
          <t>VÄRMLANDS LÄN</t>
        </is>
      </c>
      <c r="G465" t="inlineStr">
        <is>
          <t>SÄFFLE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46313</v>
      </c>
      <c r="F466" t="inlineStr">
        <is>
          <t>VÄRMLANDS LÄN</t>
        </is>
      </c>
      <c r="G466" t="inlineStr">
        <is>
          <t>SÄFFLE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46313</v>
      </c>
      <c r="F467" t="inlineStr">
        <is>
          <t>VÄRMLANDS LÄN</t>
        </is>
      </c>
      <c r="G467" t="inlineStr">
        <is>
          <t>SÄFFLE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45271</v>
      </c>
      <c r="E468" s="1" t="n">
        <v>46313</v>
      </c>
      <c r="F468" t="inlineStr">
        <is>
          <t>VÄRMLANDS LÄN</t>
        </is>
      </c>
      <c r="G468" t="inlineStr">
        <is>
          <t>SÄFFLE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63673-2021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46313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46313</v>
      </c>
      <c r="F470" t="inlineStr">
        <is>
          <t>VÄRMLANDS LÄN</t>
        </is>
      </c>
      <c r="G470" t="inlineStr">
        <is>
          <t>SÄFFLE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46313</v>
      </c>
      <c r="F471" t="inlineStr">
        <is>
          <t>VÄRMLANDS LÄN</t>
        </is>
      </c>
      <c r="G471" t="inlineStr">
        <is>
          <t>SÄFFLE</t>
        </is>
      </c>
      <c r="I471" t="n">
        <v>12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46313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46313</v>
      </c>
      <c r="F473" t="inlineStr">
        <is>
          <t>VÄRMLANDS LÄN</t>
        </is>
      </c>
      <c r="G473" t="inlineStr">
        <is>
          <t>SÄFFLE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46313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46313</v>
      </c>
      <c r="F475" t="inlineStr">
        <is>
          <t>VÄRMLANDS LÄN</t>
        </is>
      </c>
      <c r="G475" t="inlineStr">
        <is>
          <t>SÄFFLE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45266</v>
      </c>
      <c r="E476" s="1" t="n">
        <v>46313</v>
      </c>
      <c r="F476" t="inlineStr">
        <is>
          <t>VÄRMLANDS LÄN</t>
        </is>
      </c>
      <c r="G476" t="inlineStr">
        <is>
          <t>SÄFFLE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46313</v>
      </c>
      <c r="F477" t="inlineStr">
        <is>
          <t>VÄRMLANDS LÄN</t>
        </is>
      </c>
      <c r="G477" t="inlineStr">
        <is>
          <t>SÄFFLE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46313</v>
      </c>
      <c r="F478" t="inlineStr">
        <is>
          <t>VÄRMLANDS LÄN</t>
        </is>
      </c>
      <c r="G478" t="inlineStr">
        <is>
          <t>SÄFFLE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45534</v>
      </c>
      <c r="E479" s="1" t="n">
        <v>46313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46313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46313</v>
      </c>
      <c r="F481" t="inlineStr">
        <is>
          <t>VÄRMLANDS LÄN</t>
        </is>
      </c>
      <c r="G481" t="inlineStr">
        <is>
          <t>SÄFFLE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46313</v>
      </c>
      <c r="F482" t="inlineStr">
        <is>
          <t>VÄRMLANDS LÄN</t>
        </is>
      </c>
      <c r="G482" t="inlineStr">
        <is>
          <t>SÄFFLE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46313</v>
      </c>
      <c r="F483" t="inlineStr">
        <is>
          <t>VÄRMLANDS LÄN</t>
        </is>
      </c>
      <c r="G483" t="inlineStr">
        <is>
          <t>SÄFFLE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46313</v>
      </c>
      <c r="F484" t="inlineStr">
        <is>
          <t>VÄRMLANDS LÄN</t>
        </is>
      </c>
      <c r="G484" t="inlineStr">
        <is>
          <t>SÄFFLE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46313</v>
      </c>
      <c r="F485" t="inlineStr">
        <is>
          <t>VÄRMLANDS LÄN</t>
        </is>
      </c>
      <c r="G485" t="inlineStr">
        <is>
          <t>SÄFFLE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12187-2026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46086</v>
      </c>
      <c r="E486" s="1" t="n">
        <v>46313</v>
      </c>
      <c r="F486" t="inlineStr">
        <is>
          <t>VÄRMLANDS LÄN</t>
        </is>
      </c>
      <c r="G486" t="inlineStr">
        <is>
          <t>SÄFFLE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46313</v>
      </c>
      <c r="F487" t="inlineStr">
        <is>
          <t>VÄRMLANDS LÄN</t>
        </is>
      </c>
      <c r="G487" t="inlineStr">
        <is>
          <t>SÄFFLE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12268-2026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46313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44868</v>
      </c>
      <c r="E489" s="1" t="n">
        <v>46313</v>
      </c>
      <c r="F489" t="inlineStr">
        <is>
          <t>VÄRMLANDS LÄN</t>
        </is>
      </c>
      <c r="G489" t="inlineStr">
        <is>
          <t>SÄFFLE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46313</v>
      </c>
      <c r="F490" t="inlineStr">
        <is>
          <t>VÄRMLANDS LÄN</t>
        </is>
      </c>
      <c r="G490" t="inlineStr">
        <is>
          <t>SÄFFLE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46313</v>
      </c>
      <c r="F491" t="inlineStr">
        <is>
          <t>VÄRMLANDS LÄN</t>
        </is>
      </c>
      <c r="G491" t="inlineStr">
        <is>
          <t>SÄFFLE</t>
        </is>
      </c>
      <c r="I491" t="n">
        <v>12.7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46313</v>
      </c>
      <c r="F492" t="inlineStr">
        <is>
          <t>VÄRMLANDS LÄN</t>
        </is>
      </c>
      <c r="G492" t="inlineStr">
        <is>
          <t>SÄFFLE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46313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46313</v>
      </c>
      <c r="F494" t="inlineStr">
        <is>
          <t>VÄRMLANDS LÄN</t>
        </is>
      </c>
      <c r="G494" t="inlineStr">
        <is>
          <t>SÄFFLE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45233-2023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45191</v>
      </c>
      <c r="E495" s="1" t="n">
        <v>46313</v>
      </c>
      <c r="F495" t="inlineStr">
        <is>
          <t>VÄRMLANDS LÄN</t>
        </is>
      </c>
      <c r="G495" t="inlineStr">
        <is>
          <t>SÄFFLE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45989</v>
      </c>
      <c r="E496" s="1" t="n">
        <v>46313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73662-2021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44552</v>
      </c>
      <c r="E497" s="1" t="n">
        <v>46313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46313</v>
      </c>
      <c r="F498" t="inlineStr">
        <is>
          <t>VÄRMLANDS LÄN</t>
        </is>
      </c>
      <c r="G498" t="inlineStr">
        <is>
          <t>SÄFFLE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46313</v>
      </c>
      <c r="F499" t="inlineStr">
        <is>
          <t>VÄRMLANDS LÄN</t>
        </is>
      </c>
      <c r="G499" t="inlineStr">
        <is>
          <t>SÄFFLE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46313</v>
      </c>
      <c r="F500" t="inlineStr">
        <is>
          <t>VÄRMLANDS LÄN</t>
        </is>
      </c>
      <c r="G500" t="inlineStr">
        <is>
          <t>SÄFFLE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46313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46313</v>
      </c>
      <c r="F502" t="inlineStr">
        <is>
          <t>VÄRMLANDS LÄN</t>
        </is>
      </c>
      <c r="G502" t="inlineStr">
        <is>
          <t>SÄFFLE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46313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45348</v>
      </c>
      <c r="E504" s="1" t="n">
        <v>46313</v>
      </c>
      <c r="F504" t="inlineStr">
        <is>
          <t>VÄRMLANDS LÄN</t>
        </is>
      </c>
      <c r="G504" t="inlineStr">
        <is>
          <t>SÄFFLE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60073-2022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46313</v>
      </c>
      <c r="F505" t="inlineStr">
        <is>
          <t>VÄRMLANDS LÄN</t>
        </is>
      </c>
      <c r="G505" t="inlineStr">
        <is>
          <t>SÄFFLE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46313</v>
      </c>
      <c r="F506" t="inlineStr">
        <is>
          <t>VÄRMLANDS LÄN</t>
        </is>
      </c>
      <c r="G506" t="inlineStr">
        <is>
          <t>SÄFFLE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45564</v>
      </c>
      <c r="E507" s="1" t="n">
        <v>46313</v>
      </c>
      <c r="F507" t="inlineStr">
        <is>
          <t>VÄRMLANDS LÄN</t>
        </is>
      </c>
      <c r="G507" t="inlineStr">
        <is>
          <t>SÄFFLE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46313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46313</v>
      </c>
      <c r="F509" t="inlineStr">
        <is>
          <t>VÄRMLANDS LÄN</t>
        </is>
      </c>
      <c r="G509" t="inlineStr">
        <is>
          <t>SÄFFLE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14994-2026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46104</v>
      </c>
      <c r="E510" s="1" t="n">
        <v>46313</v>
      </c>
      <c r="F510" t="inlineStr">
        <is>
          <t>VÄRMLANDS LÄN</t>
        </is>
      </c>
      <c r="G510" t="inlineStr">
        <is>
          <t>SÄFFLE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45609</v>
      </c>
      <c r="E511" s="1" t="n">
        <v>46313</v>
      </c>
      <c r="F511" t="inlineStr">
        <is>
          <t>VÄRMLANDS LÄN</t>
        </is>
      </c>
      <c r="G511" t="inlineStr">
        <is>
          <t>SÄFFLE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46313</v>
      </c>
      <c r="F512" t="inlineStr">
        <is>
          <t>VÄRMLANDS LÄN</t>
        </is>
      </c>
      <c r="G512" t="inlineStr">
        <is>
          <t>SÄFFLE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46313</v>
      </c>
      <c r="F513" t="inlineStr">
        <is>
          <t>VÄRMLANDS LÄN</t>
        </is>
      </c>
      <c r="G513" t="inlineStr">
        <is>
          <t>SÄFFLE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44824</v>
      </c>
      <c r="E514" s="1" t="n">
        <v>46313</v>
      </c>
      <c r="F514" t="inlineStr">
        <is>
          <t>VÄRMLANDS LÄN</t>
        </is>
      </c>
      <c r="G514" t="inlineStr">
        <is>
          <t>SÄFFLE</t>
        </is>
      </c>
      <c r="I514" t="n">
        <v>11.4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15234-2026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46313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41368-2024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46313</v>
      </c>
      <c r="F516" t="inlineStr">
        <is>
          <t>VÄRMLANDS LÄN</t>
        </is>
      </c>
      <c r="G516" t="inlineStr">
        <is>
          <t>SÄFFLE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46313</v>
      </c>
      <c r="F517" t="inlineStr">
        <is>
          <t>VÄRMLANDS LÄN</t>
        </is>
      </c>
      <c r="G517" t="inlineStr">
        <is>
          <t>SÄFFLE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46313</v>
      </c>
      <c r="F518" t="inlineStr">
        <is>
          <t>VÄRMLANDS LÄN</t>
        </is>
      </c>
      <c r="G518" t="inlineStr">
        <is>
          <t>SÄFFLE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44603</v>
      </c>
      <c r="E519" s="1" t="n">
        <v>46313</v>
      </c>
      <c r="F519" t="inlineStr">
        <is>
          <t>VÄRMLANDS LÄN</t>
        </is>
      </c>
      <c r="G519" t="inlineStr">
        <is>
          <t>SÄFFLE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63858-2021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44509</v>
      </c>
      <c r="E520" s="1" t="n">
        <v>46313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61677-2021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44501</v>
      </c>
      <c r="E521" s="1" t="n">
        <v>46313</v>
      </c>
      <c r="F521" t="inlineStr">
        <is>
          <t>VÄRMLANDS LÄN</t>
        </is>
      </c>
      <c r="G521" t="inlineStr">
        <is>
          <t>SÄFFLE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46313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46313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46313</v>
      </c>
      <c r="F524" t="inlineStr">
        <is>
          <t>VÄRMLANDS LÄN</t>
        </is>
      </c>
      <c r="G524" t="inlineStr">
        <is>
          <t>SÄFFLE</t>
        </is>
      </c>
      <c r="H524" t="inlineStr">
        <is>
          <t>Kommuner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33245-2023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45127</v>
      </c>
      <c r="E525" s="1" t="n">
        <v>46313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10223-2025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45720</v>
      </c>
      <c r="E526" s="1" t="n">
        <v>46313</v>
      </c>
      <c r="F526" t="inlineStr">
        <is>
          <t>VÄRMLANDS LÄN</t>
        </is>
      </c>
      <c r="G526" t="inlineStr">
        <is>
          <t>SÄFFLE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46859-2024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45583</v>
      </c>
      <c r="E527" s="1" t="n">
        <v>46313</v>
      </c>
      <c r="F527" t="inlineStr">
        <is>
          <t>VÄRMLANDS LÄN</t>
        </is>
      </c>
      <c r="G527" t="inlineStr">
        <is>
          <t>SÄFFLE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45355</v>
      </c>
      <c r="E528" s="1" t="n">
        <v>46313</v>
      </c>
      <c r="F528" t="inlineStr">
        <is>
          <t>VÄRMLANDS LÄN</t>
        </is>
      </c>
      <c r="G528" t="inlineStr">
        <is>
          <t>SÄFFLE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46313</v>
      </c>
      <c r="F529" t="inlineStr">
        <is>
          <t>VÄRMLANDS LÄN</t>
        </is>
      </c>
      <c r="G529" t="inlineStr">
        <is>
          <t>SÄFFLE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17258-2026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46119</v>
      </c>
      <c r="E530" s="1" t="n">
        <v>46313</v>
      </c>
      <c r="F530" t="inlineStr">
        <is>
          <t>VÄRMLANDS LÄN</t>
        </is>
      </c>
      <c r="G530" t="inlineStr">
        <is>
          <t>SÄFFLE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46313</v>
      </c>
      <c r="F531" t="inlineStr">
        <is>
          <t>VÄRMLANDS LÄN</t>
        </is>
      </c>
      <c r="G531" t="inlineStr">
        <is>
          <t>SÄFFLE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40807-2023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45171</v>
      </c>
      <c r="E532" s="1" t="n">
        <v>46313</v>
      </c>
      <c r="F532" t="inlineStr">
        <is>
          <t>VÄRMLANDS LÄN</t>
        </is>
      </c>
      <c r="G532" t="inlineStr">
        <is>
          <t>SÄFFLE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46313</v>
      </c>
      <c r="F533" t="inlineStr">
        <is>
          <t>VÄRMLANDS LÄN</t>
        </is>
      </c>
      <c r="G533" t="inlineStr">
        <is>
          <t>SÄFFLE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58067-2024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45631</v>
      </c>
      <c r="E534" s="1" t="n">
        <v>46313</v>
      </c>
      <c r="F534" t="inlineStr">
        <is>
          <t>VÄRMLANDS LÄN</t>
        </is>
      </c>
      <c r="G534" t="inlineStr">
        <is>
          <t>SÄFFLE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45586</v>
      </c>
      <c r="E535" s="1" t="n">
        <v>46313</v>
      </c>
      <c r="F535" t="inlineStr">
        <is>
          <t>VÄRMLANDS LÄN</t>
        </is>
      </c>
      <c r="G535" t="inlineStr">
        <is>
          <t>SÄFFLE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46313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46313</v>
      </c>
      <c r="F537" t="inlineStr">
        <is>
          <t>VÄRMLANDS LÄN</t>
        </is>
      </c>
      <c r="G537" t="inlineStr">
        <is>
          <t>SÄFFLE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21974-2023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45068</v>
      </c>
      <c r="E538" s="1" t="n">
        <v>46313</v>
      </c>
      <c r="F538" t="inlineStr">
        <is>
          <t>VÄRMLANDS LÄN</t>
        </is>
      </c>
      <c r="G538" t="inlineStr">
        <is>
          <t>SÄFFLE</t>
        </is>
      </c>
      <c r="I538" t="n">
        <v>11.8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45534</v>
      </c>
      <c r="E539" s="1" t="n">
        <v>46313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46313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46313</v>
      </c>
      <c r="F541" t="inlineStr">
        <is>
          <t>VÄRMLANDS LÄN</t>
        </is>
      </c>
      <c r="G541" t="inlineStr">
        <is>
          <t>SÄFFLE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46313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44745</v>
      </c>
      <c r="E543" s="1" t="n">
        <v>46313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46313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46313</v>
      </c>
      <c r="F545" t="inlineStr">
        <is>
          <t>VÄRMLANDS LÄN</t>
        </is>
      </c>
      <c r="G545" t="inlineStr">
        <is>
          <t>SÄFFLE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46313</v>
      </c>
      <c r="F546" t="inlineStr">
        <is>
          <t>VÄRMLANDS LÄN</t>
        </is>
      </c>
      <c r="G546" t="inlineStr">
        <is>
          <t>SÄFFLE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67174-2021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44523</v>
      </c>
      <c r="E547" s="1" t="n">
        <v>46313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46313</v>
      </c>
      <c r="F548" t="inlineStr">
        <is>
          <t>VÄRMLANDS LÄN</t>
        </is>
      </c>
      <c r="G548" t="inlineStr">
        <is>
          <t>SÄFFLE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46313</v>
      </c>
      <c r="F549" t="inlineStr">
        <is>
          <t>VÄRMLANDS LÄN</t>
        </is>
      </c>
      <c r="G549" t="inlineStr">
        <is>
          <t>SÄFFLE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11737-2025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45727</v>
      </c>
      <c r="E550" s="1" t="n">
        <v>46313</v>
      </c>
      <c r="F550" t="inlineStr">
        <is>
          <t>VÄRMLANDS LÄN</t>
        </is>
      </c>
      <c r="G550" t="inlineStr">
        <is>
          <t>SÄFFLE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10649-2024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45368</v>
      </c>
      <c r="E551" s="1" t="n">
        <v>46313</v>
      </c>
      <c r="F551" t="inlineStr">
        <is>
          <t>VÄRMLANDS LÄN</t>
        </is>
      </c>
      <c r="G551" t="inlineStr">
        <is>
          <t>SÄFFLE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45454</v>
      </c>
      <c r="E552" s="1" t="n">
        <v>46313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45874</v>
      </c>
      <c r="E553" s="1" t="n">
        <v>46313</v>
      </c>
      <c r="F553" t="inlineStr">
        <is>
          <t>VÄRMLANDS LÄN</t>
        </is>
      </c>
      <c r="G553" t="inlineStr">
        <is>
          <t>SÄFFLE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46313</v>
      </c>
      <c r="F554" t="inlineStr">
        <is>
          <t>VÄRMLANDS LÄN</t>
        </is>
      </c>
      <c r="G554" t="inlineStr">
        <is>
          <t>SÄFFLE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46313</v>
      </c>
      <c r="F555" t="inlineStr">
        <is>
          <t>VÄRMLANDS LÄN</t>
        </is>
      </c>
      <c r="G555" t="inlineStr">
        <is>
          <t>SÄFFLE</t>
        </is>
      </c>
      <c r="I555" t="n">
        <v>14.3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54367-2022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44879</v>
      </c>
      <c r="E556" s="1" t="n">
        <v>46313</v>
      </c>
      <c r="F556" t="inlineStr">
        <is>
          <t>VÄRMLANDS LÄN</t>
        </is>
      </c>
      <c r="G556" t="inlineStr">
        <is>
          <t>SÄFFLE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46313</v>
      </c>
      <c r="F557" t="inlineStr">
        <is>
          <t>VÄRMLANDS LÄN</t>
        </is>
      </c>
      <c r="G557" t="inlineStr">
        <is>
          <t>SÄFFLE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46313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46313</v>
      </c>
      <c r="F559" t="inlineStr">
        <is>
          <t>VÄRMLANDS LÄN</t>
        </is>
      </c>
      <c r="G559" t="inlineStr">
        <is>
          <t>SÄFFLE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49979-2024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45597</v>
      </c>
      <c r="E560" s="1" t="n">
        <v>46313</v>
      </c>
      <c r="F560" t="inlineStr">
        <is>
          <t>VÄRMLANDS LÄN</t>
        </is>
      </c>
      <c r="G560" t="inlineStr">
        <is>
          <t>SÄFFLE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50042-2024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45597</v>
      </c>
      <c r="E561" s="1" t="n">
        <v>46313</v>
      </c>
      <c r="F561" t="inlineStr">
        <is>
          <t>VÄRMLANDS LÄN</t>
        </is>
      </c>
      <c r="G561" t="inlineStr">
        <is>
          <t>SÄFFLE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45807</v>
      </c>
      <c r="E562" s="1" t="n">
        <v>46313</v>
      </c>
      <c r="F562" t="inlineStr">
        <is>
          <t>VÄRMLANDS LÄN</t>
        </is>
      </c>
      <c r="G562" t="inlineStr">
        <is>
          <t>SÄFFLE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45807</v>
      </c>
      <c r="E563" s="1" t="n">
        <v>46313</v>
      </c>
      <c r="F563" t="inlineStr">
        <is>
          <t>VÄRMLANDS LÄN</t>
        </is>
      </c>
      <c r="G563" t="inlineStr">
        <is>
          <t>SÄFFLE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44572</v>
      </c>
      <c r="E564" s="1" t="n">
        <v>46313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50442-2022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46313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43862-2025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45912</v>
      </c>
      <c r="E566" s="1" t="n">
        <v>46313</v>
      </c>
      <c r="F566" t="inlineStr">
        <is>
          <t>VÄRMLANDS LÄN</t>
        </is>
      </c>
      <c r="G566" t="inlineStr">
        <is>
          <t>SÄFFLE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45874</v>
      </c>
      <c r="E567" s="1" t="n">
        <v>46313</v>
      </c>
      <c r="F567" t="inlineStr">
        <is>
          <t>VÄRMLANDS LÄN</t>
        </is>
      </c>
      <c r="G567" t="inlineStr">
        <is>
          <t>SÄFFLE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45932</v>
      </c>
      <c r="E568" s="1" t="n">
        <v>46313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12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44763</v>
      </c>
      <c r="E569" s="1" t="n">
        <v>46313</v>
      </c>
      <c r="F569" t="inlineStr">
        <is>
          <t>VÄRMLANDS LÄN</t>
        </is>
      </c>
      <c r="G569" t="inlineStr">
        <is>
          <t>SÄFFLE</t>
        </is>
      </c>
      <c r="H569" t="inlineStr">
        <is>
          <t>Kyrkan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46313</v>
      </c>
      <c r="F570" t="inlineStr">
        <is>
          <t>VÄRMLANDS LÄN</t>
        </is>
      </c>
      <c r="G570" t="inlineStr">
        <is>
          <t>SÄFFLE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46313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45575</v>
      </c>
      <c r="E572" s="1" t="n">
        <v>46313</v>
      </c>
      <c r="F572" t="inlineStr">
        <is>
          <t>VÄRMLANDS LÄN</t>
        </is>
      </c>
      <c r="G572" t="inlineStr">
        <is>
          <t>SÄFFLE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46313</v>
      </c>
      <c r="F573" t="inlineStr">
        <is>
          <t>VÄRMLANDS LÄN</t>
        </is>
      </c>
      <c r="G573" t="inlineStr">
        <is>
          <t>SÄFFLE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46313</v>
      </c>
      <c r="F574" t="inlineStr">
        <is>
          <t>VÄRMLANDS LÄN</t>
        </is>
      </c>
      <c r="G574" t="inlineStr">
        <is>
          <t>SÄFFLE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46105</v>
      </c>
      <c r="E575" s="1" t="n">
        <v>46313</v>
      </c>
      <c r="F575" t="inlineStr">
        <is>
          <t>VÄRMLANDS LÄN</t>
        </is>
      </c>
      <c r="G575" t="inlineStr">
        <is>
          <t>SÄFFLE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46313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46313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46313</v>
      </c>
      <c r="F578" t="inlineStr">
        <is>
          <t>VÄRMLANDS LÄN</t>
        </is>
      </c>
      <c r="G578" t="inlineStr">
        <is>
          <t>SÄFFLE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45516</v>
      </c>
      <c r="E579" s="1" t="n">
        <v>46313</v>
      </c>
      <c r="F579" t="inlineStr">
        <is>
          <t>VÄRMLANDS LÄN</t>
        </is>
      </c>
      <c r="G579" t="inlineStr">
        <is>
          <t>SÄFFLE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32751-2024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45516</v>
      </c>
      <c r="E580" s="1" t="n">
        <v>46313</v>
      </c>
      <c r="F580" t="inlineStr">
        <is>
          <t>VÄRMLANDS LÄN</t>
        </is>
      </c>
      <c r="G580" t="inlineStr">
        <is>
          <t>SÄFFLE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46313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46313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46313</v>
      </c>
      <c r="F583" t="inlineStr">
        <is>
          <t>VÄRMLANDS LÄN</t>
        </is>
      </c>
      <c r="G583" t="inlineStr">
        <is>
          <t>SÄFFLE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46313</v>
      </c>
      <c r="F584" t="inlineStr">
        <is>
          <t>VÄRMLANDS LÄN</t>
        </is>
      </c>
      <c r="G584" t="inlineStr">
        <is>
          <t>SÄFFLE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46313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45223</v>
      </c>
      <c r="E586" s="1" t="n">
        <v>46313</v>
      </c>
      <c r="F586" t="inlineStr">
        <is>
          <t>VÄRMLANDS LÄN</t>
        </is>
      </c>
      <c r="G586" t="inlineStr">
        <is>
          <t>SÄFFLE</t>
        </is>
      </c>
      <c r="I586" t="n">
        <v>19.1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46313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45712</v>
      </c>
      <c r="E588" s="1" t="n">
        <v>46313</v>
      </c>
      <c r="F588" t="inlineStr">
        <is>
          <t>VÄRMLANDS LÄN</t>
        </is>
      </c>
      <c r="G588" t="inlineStr">
        <is>
          <t>SÄFFLE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45089</v>
      </c>
      <c r="E589" s="1" t="n">
        <v>46313</v>
      </c>
      <c r="F589" t="inlineStr">
        <is>
          <t>VÄRMLANDS LÄN</t>
        </is>
      </c>
      <c r="G589" t="inlineStr">
        <is>
          <t>SÄFFLE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53112-2022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44876</v>
      </c>
      <c r="E590" s="1" t="n">
        <v>46313</v>
      </c>
      <c r="F590" t="inlineStr">
        <is>
          <t>VÄRMLANDS LÄN</t>
        </is>
      </c>
      <c r="G590" t="inlineStr">
        <is>
          <t>SÄFFLE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45457</v>
      </c>
      <c r="E591" s="1" t="n">
        <v>46313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36972-2026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46273</v>
      </c>
      <c r="E592" s="1" t="n">
        <v>46313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46313</v>
      </c>
      <c r="F593" t="inlineStr">
        <is>
          <t>VÄRMLANDS LÄN</t>
        </is>
      </c>
      <c r="G593" t="inlineStr">
        <is>
          <t>SÄFFLE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36966-2026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46273</v>
      </c>
      <c r="E594" s="1" t="n">
        <v>46313</v>
      </c>
      <c r="F594" t="inlineStr">
        <is>
          <t>VÄRMLANDS LÄN</t>
        </is>
      </c>
      <c r="G594" t="inlineStr">
        <is>
          <t>SÄFFLE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45707</v>
      </c>
      <c r="E595" s="1" t="n">
        <v>46313</v>
      </c>
      <c r="F595" t="inlineStr">
        <is>
          <t>VÄRMLANDS LÄN</t>
        </is>
      </c>
      <c r="G595" t="inlineStr">
        <is>
          <t>SÄFFLE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45156</v>
      </c>
      <c r="E596" s="1" t="n">
        <v>46313</v>
      </c>
      <c r="F596" t="inlineStr">
        <is>
          <t>VÄRMLANDS LÄN</t>
        </is>
      </c>
      <c r="G596" t="inlineStr">
        <is>
          <t>SÄFFLE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46313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44880</v>
      </c>
      <c r="E598" s="1" t="n">
        <v>46313</v>
      </c>
      <c r="F598" t="inlineStr">
        <is>
          <t>VÄRMLANDS LÄN</t>
        </is>
      </c>
      <c r="G598" t="inlineStr">
        <is>
          <t>SÄFFLE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46232</v>
      </c>
      <c r="E599" s="1" t="n">
        <v>46313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45635</v>
      </c>
      <c r="E600" s="1" t="n">
        <v>46313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46313</v>
      </c>
      <c r="F601" t="inlineStr">
        <is>
          <t>VÄRMLANDS LÄN</t>
        </is>
      </c>
      <c r="G601" t="inlineStr">
        <is>
          <t>SÄFFLE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46313</v>
      </c>
      <c r="F602" t="inlineStr">
        <is>
          <t>VÄRMLANDS LÄN</t>
        </is>
      </c>
      <c r="G602" t="inlineStr">
        <is>
          <t>SÄFFLE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46313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46313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55847-2023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46313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46313</v>
      </c>
      <c r="F606" t="inlineStr">
        <is>
          <t>VÄRMLANDS LÄN</t>
        </is>
      </c>
      <c r="G606" t="inlineStr">
        <is>
          <t>SÄFFLE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46313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46313</v>
      </c>
      <c r="F608" t="inlineStr">
        <is>
          <t>VÄRMLANDS LÄN</t>
        </is>
      </c>
      <c r="G608" t="inlineStr">
        <is>
          <t>SÄFFLE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44881</v>
      </c>
      <c r="E609" s="1" t="n">
        <v>46313</v>
      </c>
      <c r="F609" t="inlineStr">
        <is>
          <t>VÄRMLANDS LÄN</t>
        </is>
      </c>
      <c r="G609" t="inlineStr">
        <is>
          <t>SÄFFLE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55094-2022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44886</v>
      </c>
      <c r="E610" s="1" t="n">
        <v>46313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46313</v>
      </c>
      <c r="F611" t="inlineStr">
        <is>
          <t>VÄRMLANDS LÄN</t>
        </is>
      </c>
      <c r="G611" t="inlineStr">
        <is>
          <t>SÄFFLE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46313</v>
      </c>
      <c r="F612" t="inlineStr">
        <is>
          <t>VÄRMLANDS LÄN</t>
        </is>
      </c>
      <c r="G612" t="inlineStr">
        <is>
          <t>SÄFFLE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27444-2024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46313</v>
      </c>
      <c r="F613" t="inlineStr">
        <is>
          <t>VÄRMLANDS LÄN</t>
        </is>
      </c>
      <c r="G613" t="inlineStr">
        <is>
          <t>SÄFFLE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43766-2024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45569</v>
      </c>
      <c r="E614" s="1" t="n">
        <v>46313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44980</v>
      </c>
      <c r="E615" s="1" t="n">
        <v>46313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46313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46313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46313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46313</v>
      </c>
      <c r="F619" t="inlineStr">
        <is>
          <t>VÄRMLANDS LÄN</t>
        </is>
      </c>
      <c r="G619" t="inlineStr">
        <is>
          <t>SÄFFLE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38256-2026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46281</v>
      </c>
      <c r="E620" s="1" t="n">
        <v>46313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46313</v>
      </c>
      <c r="F621" t="inlineStr">
        <is>
          <t>VÄRMLANDS LÄN</t>
        </is>
      </c>
      <c r="G621" t="inlineStr">
        <is>
          <t>SÄFFLE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38291-2022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44812</v>
      </c>
      <c r="E622" s="1" t="n">
        <v>46313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45095</v>
      </c>
      <c r="E623" s="1" t="n">
        <v>46313</v>
      </c>
      <c r="F623" t="inlineStr">
        <is>
          <t>VÄRMLANDS LÄN</t>
        </is>
      </c>
      <c r="G623" t="inlineStr">
        <is>
          <t>SÄFFLE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46313</v>
      </c>
      <c r="F624" t="inlineStr">
        <is>
          <t>VÄRMLANDS LÄN</t>
        </is>
      </c>
      <c r="G624" t="inlineStr">
        <is>
          <t>SÄFFLE</t>
        </is>
      </c>
      <c r="I624" t="n">
        <v>16.2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58383-2021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44488</v>
      </c>
      <c r="E625" s="1" t="n">
        <v>46313</v>
      </c>
      <c r="F625" t="inlineStr">
        <is>
          <t>VÄRMLANDS LÄN</t>
        </is>
      </c>
      <c r="G625" t="inlineStr">
        <is>
          <t>SÄFFLE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46283</v>
      </c>
      <c r="E626" s="1" t="n">
        <v>46313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62298-2023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45267</v>
      </c>
      <c r="E627" s="1" t="n">
        <v>46313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46313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45397</v>
      </c>
      <c r="E629" s="1" t="n">
        <v>46313</v>
      </c>
      <c r="F629" t="inlineStr">
        <is>
          <t>VÄRMLANDS LÄN</t>
        </is>
      </c>
      <c r="G629" t="inlineStr">
        <is>
          <t>SÄFFLE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46313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44758</v>
      </c>
      <c r="E631" s="1" t="n">
        <v>46313</v>
      </c>
      <c r="F631" t="inlineStr">
        <is>
          <t>VÄRMLANDS LÄN</t>
        </is>
      </c>
      <c r="G631" t="inlineStr">
        <is>
          <t>SÄFFLE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40759-2024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45558</v>
      </c>
      <c r="E632" s="1" t="n">
        <v>46313</v>
      </c>
      <c r="F632" t="inlineStr">
        <is>
          <t>VÄRMLANDS LÄN</t>
        </is>
      </c>
      <c r="G632" t="inlineStr">
        <is>
          <t>SÄFFLE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7361-2025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45704</v>
      </c>
      <c r="E633" s="1" t="n">
        <v>46313</v>
      </c>
      <c r="F633" t="inlineStr">
        <is>
          <t>VÄRMLANDS LÄN</t>
        </is>
      </c>
      <c r="G633" t="inlineStr">
        <is>
          <t>SÄFFLE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45607</v>
      </c>
      <c r="E634" s="1" t="n">
        <v>46313</v>
      </c>
      <c r="F634" t="inlineStr">
        <is>
          <t>VÄRMLANDS LÄN</t>
        </is>
      </c>
      <c r="G634" t="inlineStr">
        <is>
          <t>SÄFFLE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46313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45625</v>
      </c>
      <c r="E636" s="1" t="n">
        <v>46313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44346-2024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46313</v>
      </c>
      <c r="F637" t="inlineStr">
        <is>
          <t>VÄRMLANDS LÄN</t>
        </is>
      </c>
      <c r="G637" t="inlineStr">
        <is>
          <t>SÄFFLE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40363-2025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45895</v>
      </c>
      <c r="E638" s="1" t="n">
        <v>46313</v>
      </c>
      <c r="F638" t="inlineStr">
        <is>
          <t>VÄRMLANDS LÄN</t>
        </is>
      </c>
      <c r="G638" t="inlineStr">
        <is>
          <t>SÄFFLE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44581</v>
      </c>
      <c r="E639" s="1" t="n">
        <v>46313</v>
      </c>
      <c r="F639" t="inlineStr">
        <is>
          <t>VÄRMLANDS LÄN</t>
        </is>
      </c>
      <c r="G639" t="inlineStr">
        <is>
          <t>SÄFFLE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46313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10.2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46313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43341-2025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45910</v>
      </c>
      <c r="E642" s="1" t="n">
        <v>46313</v>
      </c>
      <c r="F642" t="inlineStr">
        <is>
          <t>VÄRMLANDS LÄN</t>
        </is>
      </c>
      <c r="G642" t="inlineStr">
        <is>
          <t>SÄFFLE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43099-2024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45567</v>
      </c>
      <c r="E643" s="1" t="n">
        <v>46313</v>
      </c>
      <c r="F643" t="inlineStr">
        <is>
          <t>VÄRMLANDS LÄN</t>
        </is>
      </c>
      <c r="G643" t="inlineStr">
        <is>
          <t>SÄFFLE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46313</v>
      </c>
      <c r="F644" t="inlineStr">
        <is>
          <t>VÄRMLANDS LÄN</t>
        </is>
      </c>
      <c r="G644" t="inlineStr">
        <is>
          <t>SÄFFLE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46313</v>
      </c>
      <c r="F645" t="inlineStr">
        <is>
          <t>VÄRMLANDS LÄN</t>
        </is>
      </c>
      <c r="G645" t="inlineStr">
        <is>
          <t>SÄFFLE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35117-2024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46313</v>
      </c>
      <c r="F646" t="inlineStr">
        <is>
          <t>VÄRMLANDS LÄN</t>
        </is>
      </c>
      <c r="G646" t="inlineStr">
        <is>
          <t>SÄFFLE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67203-2021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44523</v>
      </c>
      <c r="E647" s="1" t="n">
        <v>46313</v>
      </c>
      <c r="F647" t="inlineStr">
        <is>
          <t>VÄRMLANDS LÄN</t>
        </is>
      </c>
      <c r="G647" t="inlineStr">
        <is>
          <t>SÄFFLE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45341</v>
      </c>
      <c r="E648" s="1" t="n">
        <v>46313</v>
      </c>
      <c r="F648" t="inlineStr">
        <is>
          <t>VÄRMLANDS LÄN</t>
        </is>
      </c>
      <c r="G648" t="inlineStr">
        <is>
          <t>SÄFFLE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44819</v>
      </c>
      <c r="E649" s="1" t="n">
        <v>46313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46313</v>
      </c>
      <c r="F650" t="inlineStr">
        <is>
          <t>VÄRMLANDS LÄN</t>
        </is>
      </c>
      <c r="G650" t="inlineStr">
        <is>
          <t>SÄFFLE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39388-2026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46313</v>
      </c>
      <c r="F651" t="inlineStr">
        <is>
          <t>VÄRMLANDS LÄN</t>
        </is>
      </c>
      <c r="G651" t="inlineStr">
        <is>
          <t>SÄFFLE</t>
        </is>
      </c>
      <c r="H651" t="inlineStr">
        <is>
          <t>Kyrkan</t>
        </is>
      </c>
      <c r="I651" t="n">
        <v>26.6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46313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46313</v>
      </c>
      <c r="F653" t="inlineStr">
        <is>
          <t>VÄRMLANDS LÄN</t>
        </is>
      </c>
      <c r="G653" t="inlineStr">
        <is>
          <t>SÄFFLE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45728</v>
      </c>
      <c r="E654" s="1" t="n">
        <v>46313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46313</v>
      </c>
      <c r="F655" t="inlineStr">
        <is>
          <t>VÄRMLANDS LÄN</t>
        </is>
      </c>
      <c r="G655" t="inlineStr">
        <is>
          <t>SÄFFLE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46313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44929</v>
      </c>
      <c r="E657" s="1" t="n">
        <v>46313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45426</v>
      </c>
      <c r="E658" s="1" t="n">
        <v>46313</v>
      </c>
      <c r="F658" t="inlineStr">
        <is>
          <t>VÄRMLANDS LÄN</t>
        </is>
      </c>
      <c r="G658" t="inlineStr">
        <is>
          <t>SÄFFLE</t>
        </is>
      </c>
      <c r="I658" t="n">
        <v>10.8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53303-2023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46313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45165-2023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46313</v>
      </c>
      <c r="F660" t="inlineStr">
        <is>
          <t>VÄRMLANDS LÄN</t>
        </is>
      </c>
      <c r="G660" t="inlineStr">
        <is>
          <t>SÄFFLE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45167-2023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45191</v>
      </c>
      <c r="E661" s="1" t="n">
        <v>46313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46313</v>
      </c>
      <c r="F662" t="inlineStr">
        <is>
          <t>VÄRMLANDS LÄN</t>
        </is>
      </c>
      <c r="G662" t="inlineStr">
        <is>
          <t>SÄFFLE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45237</v>
      </c>
      <c r="E663" s="1" t="n">
        <v>46313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46289</v>
      </c>
      <c r="E664" s="1" t="n">
        <v>46313</v>
      </c>
      <c r="F664" t="inlineStr">
        <is>
          <t>VÄRMLANDS LÄN</t>
        </is>
      </c>
      <c r="G664" t="inlineStr">
        <is>
          <t>SÄFFLE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44921</v>
      </c>
      <c r="E665" s="1" t="n">
        <v>46313</v>
      </c>
      <c r="F665" t="inlineStr">
        <is>
          <t>VÄRMLANDS LÄN</t>
        </is>
      </c>
      <c r="G665" t="inlineStr">
        <is>
          <t>SÄFFLE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45720</v>
      </c>
      <c r="E666" s="1" t="n">
        <v>46313</v>
      </c>
      <c r="F666" t="inlineStr">
        <is>
          <t>VÄRMLANDS LÄN</t>
        </is>
      </c>
      <c r="G666" t="inlineStr">
        <is>
          <t>SÄFFLE</t>
        </is>
      </c>
      <c r="H666" t="inlineStr">
        <is>
          <t>Kyrkan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45692</v>
      </c>
      <c r="E667" s="1" t="n">
        <v>46313</v>
      </c>
      <c r="F667" t="inlineStr">
        <is>
          <t>VÄRMLANDS LÄN</t>
        </is>
      </c>
      <c r="G667" t="inlineStr">
        <is>
          <t>SÄFFLE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45692</v>
      </c>
      <c r="E668" s="1" t="n">
        <v>46313</v>
      </c>
      <c r="F668" t="inlineStr">
        <is>
          <t>VÄRMLANDS LÄN</t>
        </is>
      </c>
      <c r="G668" t="inlineStr">
        <is>
          <t>SÄFFLE</t>
        </is>
      </c>
      <c r="I668" t="n">
        <v>20.8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46313</v>
      </c>
      <c r="F669" t="inlineStr">
        <is>
          <t>VÄRMLANDS LÄN</t>
        </is>
      </c>
      <c r="G669" t="inlineStr">
        <is>
          <t>SÄFFLE</t>
        </is>
      </c>
      <c r="I669" t="n">
        <v>13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45063</v>
      </c>
      <c r="E670" s="1" t="n">
        <v>46313</v>
      </c>
      <c r="F670" t="inlineStr">
        <is>
          <t>VÄRMLANDS LÄN</t>
        </is>
      </c>
      <c r="G670" t="inlineStr">
        <is>
          <t>SÄFFLE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46313</v>
      </c>
      <c r="F671" t="inlineStr">
        <is>
          <t>VÄRMLANDS LÄN</t>
        </is>
      </c>
      <c r="G671" t="inlineStr">
        <is>
          <t>SÄFFLE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44973</v>
      </c>
      <c r="E672" s="1" t="n">
        <v>46313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45517</v>
      </c>
      <c r="E673" s="1" t="n">
        <v>46313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45681</v>
      </c>
      <c r="E674" s="1" t="n">
        <v>46313</v>
      </c>
      <c r="F674" t="inlineStr">
        <is>
          <t>VÄRMLANDS LÄN</t>
        </is>
      </c>
      <c r="G674" t="inlineStr">
        <is>
          <t>SÄFFLE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45385</v>
      </c>
      <c r="E675" s="1" t="n">
        <v>46313</v>
      </c>
      <c r="F675" t="inlineStr">
        <is>
          <t>VÄRMLANDS LÄN</t>
        </is>
      </c>
      <c r="G675" t="inlineStr">
        <is>
          <t>SÄFFLE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30387-2024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45491</v>
      </c>
      <c r="E676" s="1" t="n">
        <v>46313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21396-2024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45441</v>
      </c>
      <c r="E677" s="1" t="n">
        <v>46313</v>
      </c>
      <c r="F677" t="inlineStr">
        <is>
          <t>VÄRMLANDS LÄN</t>
        </is>
      </c>
      <c r="G677" t="inlineStr">
        <is>
          <t>SÄFFLE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46313</v>
      </c>
      <c r="F678" t="inlineStr">
        <is>
          <t>VÄRMLANDS LÄN</t>
        </is>
      </c>
      <c r="G678" t="inlineStr">
        <is>
          <t>SÄFFLE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16484-2022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44671</v>
      </c>
      <c r="E679" s="1" t="n">
        <v>46313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21492-2023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45063</v>
      </c>
      <c r="E680" s="1" t="n">
        <v>46313</v>
      </c>
      <c r="F680" t="inlineStr">
        <is>
          <t>VÄRMLANDS LÄN</t>
        </is>
      </c>
      <c r="G680" t="inlineStr">
        <is>
          <t>SÄFFLE</t>
        </is>
      </c>
      <c r="I680" t="n">
        <v>9.800000000000001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46290</v>
      </c>
      <c r="E681" s="1" t="n">
        <v>46313</v>
      </c>
      <c r="F681" t="inlineStr">
        <is>
          <t>VÄRMLANDS LÄN</t>
        </is>
      </c>
      <c r="G681" t="inlineStr">
        <is>
          <t>SÄFFLE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46313</v>
      </c>
      <c r="F682" t="inlineStr">
        <is>
          <t>VÄRMLANDS LÄN</t>
        </is>
      </c>
      <c r="G682" t="inlineStr">
        <is>
          <t>SÄFFLE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46295</v>
      </c>
      <c r="E683" s="1" t="n">
        <v>46313</v>
      </c>
      <c r="F683" t="inlineStr">
        <is>
          <t>VÄRMLANDS LÄN</t>
        </is>
      </c>
      <c r="G683" t="inlineStr">
        <is>
          <t>SÄFFLE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40103-2026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46313</v>
      </c>
      <c r="F684" t="inlineStr">
        <is>
          <t>VÄRMLANDS LÄN</t>
        </is>
      </c>
      <c r="G684" t="inlineStr">
        <is>
          <t>SÄFFLE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8138-2025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45707</v>
      </c>
      <c r="E685" s="1" t="n">
        <v>46313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18228-2023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45040</v>
      </c>
      <c r="E686" s="1" t="n">
        <v>46313</v>
      </c>
      <c r="F686" t="inlineStr">
        <is>
          <t>VÄRMLANDS LÄN</t>
        </is>
      </c>
      <c r="G686" t="inlineStr">
        <is>
          <t>SÄFFLE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10322-2024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45365</v>
      </c>
      <c r="E687" s="1" t="n">
        <v>46313</v>
      </c>
      <c r="F687" t="inlineStr">
        <is>
          <t>VÄRMLANDS LÄN</t>
        </is>
      </c>
      <c r="G687" t="inlineStr">
        <is>
          <t>SÄFFLE</t>
        </is>
      </c>
      <c r="I687" t="n">
        <v>20.7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45281</v>
      </c>
      <c r="E688" s="1" t="n">
        <v>46313</v>
      </c>
      <c r="F688" t="inlineStr">
        <is>
          <t>VÄRMLANDS LÄN</t>
        </is>
      </c>
      <c r="G688" t="inlineStr">
        <is>
          <t>SÄFFLE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46313</v>
      </c>
      <c r="F689" t="inlineStr">
        <is>
          <t>VÄRMLANDS LÄN</t>
        </is>
      </c>
      <c r="G689" t="inlineStr">
        <is>
          <t>SÄFFLE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46313</v>
      </c>
      <c r="F690" t="inlineStr">
        <is>
          <t>VÄRMLANDS LÄN</t>
        </is>
      </c>
      <c r="G690" t="inlineStr">
        <is>
          <t>SÄFFLE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46313</v>
      </c>
      <c r="F691" t="inlineStr">
        <is>
          <t>VÄRMLANDS LÄN</t>
        </is>
      </c>
      <c r="G691" t="inlineStr">
        <is>
          <t>SÄFFLE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64061-2021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44509</v>
      </c>
      <c r="E692" s="1" t="n">
        <v>46313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12.6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44998</v>
      </c>
      <c r="E693" s="1" t="n">
        <v>46313</v>
      </c>
      <c r="F693" t="inlineStr">
        <is>
          <t>VÄRMLANDS LÄN</t>
        </is>
      </c>
      <c r="G693" t="inlineStr">
        <is>
          <t>SÄFFLE</t>
        </is>
      </c>
      <c r="I693" t="n">
        <v>11.1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46313</v>
      </c>
      <c r="F694" t="inlineStr">
        <is>
          <t>VÄRMLANDS LÄN</t>
        </is>
      </c>
      <c r="G694" t="inlineStr">
        <is>
          <t>SÄFFLE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44574</v>
      </c>
      <c r="E695" s="1" t="n">
        <v>46313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45361</v>
      </c>
      <c r="E696" s="1" t="n">
        <v>46313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45314</v>
      </c>
      <c r="E697" s="1" t="n">
        <v>46313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46313</v>
      </c>
      <c r="F698" t="inlineStr">
        <is>
          <t>VÄRMLANDS LÄN</t>
        </is>
      </c>
      <c r="G698" t="inlineStr">
        <is>
          <t>SÄFFLE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46313</v>
      </c>
      <c r="F699" t="inlineStr">
        <is>
          <t>VÄRMLANDS LÄN</t>
        </is>
      </c>
      <c r="G699" t="inlineStr">
        <is>
          <t>SÄFFLE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46313</v>
      </c>
      <c r="F700" t="inlineStr">
        <is>
          <t>VÄRMLANDS LÄN</t>
        </is>
      </c>
      <c r="G700" t="inlineStr">
        <is>
          <t>SÄFFLE</t>
        </is>
      </c>
      <c r="H700" t="inlineStr">
        <is>
          <t>Kyrkan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20520-2023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45057</v>
      </c>
      <c r="E701" s="1" t="n">
        <v>46313</v>
      </c>
      <c r="F701" t="inlineStr">
        <is>
          <t>VÄRMLANDS LÄN</t>
        </is>
      </c>
      <c r="G701" t="inlineStr">
        <is>
          <t>SÄFFLE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51052-2022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44868</v>
      </c>
      <c r="E702" s="1" t="n">
        <v>46313</v>
      </c>
      <c r="F702" t="inlineStr">
        <is>
          <t>VÄRMLANDS LÄN</t>
        </is>
      </c>
      <c r="G702" t="inlineStr">
        <is>
          <t>SÄFFLE</t>
        </is>
      </c>
      <c r="I702" t="n">
        <v>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19273-2025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45769</v>
      </c>
      <c r="E703" s="1" t="n">
        <v>46313</v>
      </c>
      <c r="F703" t="inlineStr">
        <is>
          <t>VÄRMLANDS LÄN</t>
        </is>
      </c>
      <c r="G703" t="inlineStr">
        <is>
          <t>SÄFFLE</t>
        </is>
      </c>
      <c r="H703" t="inlineStr">
        <is>
          <t>Bergvik skog väst AB</t>
        </is>
      </c>
      <c r="I703" t="n">
        <v>11.6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45149</v>
      </c>
      <c r="E704" s="1" t="n">
        <v>46313</v>
      </c>
      <c r="F704" t="inlineStr">
        <is>
          <t>VÄRMLANDS LÄN</t>
        </is>
      </c>
      <c r="G704" t="inlineStr">
        <is>
          <t>SÄFFLE</t>
        </is>
      </c>
      <c r="I704" t="n">
        <v>8.300000000000001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63080-2023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45273</v>
      </c>
      <c r="E705" s="1" t="n">
        <v>46313</v>
      </c>
      <c r="F705" t="inlineStr">
        <is>
          <t>VÄRMLANDS LÄN</t>
        </is>
      </c>
      <c r="G705" t="inlineStr">
        <is>
          <t>SÄFFLE</t>
        </is>
      </c>
      <c r="I705" t="n">
        <v>11.2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45677</v>
      </c>
      <c r="E706" s="1" t="n">
        <v>46313</v>
      </c>
      <c r="F706" t="inlineStr">
        <is>
          <t>VÄRMLANDS LÄN</t>
        </is>
      </c>
      <c r="G706" t="inlineStr">
        <is>
          <t>SÄFFLE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18106-2023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45040</v>
      </c>
      <c r="E707" s="1" t="n">
        <v>46313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46297</v>
      </c>
      <c r="E708" s="1" t="n">
        <v>46313</v>
      </c>
      <c r="F708" t="inlineStr">
        <is>
          <t>VÄRMLANDS LÄN</t>
        </is>
      </c>
      <c r="G708" t="inlineStr">
        <is>
          <t>SÄFFLE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45393</v>
      </c>
      <c r="E709" s="1" t="n">
        <v>46313</v>
      </c>
      <c r="F709" t="inlineStr">
        <is>
          <t>VÄRMLANDS LÄN</t>
        </is>
      </c>
      <c r="G709" t="inlineStr">
        <is>
          <t>SÄFFLE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10379-2022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44623</v>
      </c>
      <c r="E710" s="1" t="n">
        <v>46313</v>
      </c>
      <c r="F710" t="inlineStr">
        <is>
          <t>VÄRMLANDS LÄN</t>
        </is>
      </c>
      <c r="G710" t="inlineStr">
        <is>
          <t>SÄFFLE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46253</v>
      </c>
      <c r="E711" s="1" t="n">
        <v>46313</v>
      </c>
      <c r="F711" t="inlineStr">
        <is>
          <t>VÄRMLANDS LÄN</t>
        </is>
      </c>
      <c r="G711" t="inlineStr">
        <is>
          <t>SÄFFLE</t>
        </is>
      </c>
      <c r="I711" t="n">
        <v>39.3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45647-2023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45194</v>
      </c>
      <c r="E712" s="1" t="n">
        <v>46313</v>
      </c>
      <c r="F712" t="inlineStr">
        <is>
          <t>VÄRMLANDS LÄN</t>
        </is>
      </c>
      <c r="G712" t="inlineStr">
        <is>
          <t>SÄFFLE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45672</v>
      </c>
      <c r="E713" s="1" t="n">
        <v>46313</v>
      </c>
      <c r="F713" t="inlineStr">
        <is>
          <t>VÄRMLANDS LÄN</t>
        </is>
      </c>
      <c r="G713" t="inlineStr">
        <is>
          <t>SÄFFLE</t>
        </is>
      </c>
      <c r="I713" t="n">
        <v>46.5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58878-2021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44489</v>
      </c>
      <c r="E714" s="1" t="n">
        <v>46313</v>
      </c>
      <c r="F714" t="inlineStr">
        <is>
          <t>VÄRMLANDS LÄN</t>
        </is>
      </c>
      <c r="G714" t="inlineStr">
        <is>
          <t>SÄFFLE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12599-2024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45380</v>
      </c>
      <c r="E715" s="1" t="n">
        <v>46313</v>
      </c>
      <c r="F715" t="inlineStr">
        <is>
          <t>VÄRMLANDS LÄN</t>
        </is>
      </c>
      <c r="G715" t="inlineStr">
        <is>
          <t>SÄFFLE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45783</v>
      </c>
      <c r="E716" s="1" t="n">
        <v>46313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10697-2024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45369</v>
      </c>
      <c r="E717" s="1" t="n">
        <v>46313</v>
      </c>
      <c r="F717" t="inlineStr">
        <is>
          <t>VÄRMLANDS LÄN</t>
        </is>
      </c>
      <c r="G717" t="inlineStr">
        <is>
          <t>SÄFFLE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41218-2026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46300</v>
      </c>
      <c r="E718" s="1" t="n">
        <v>46313</v>
      </c>
      <c r="F718" t="inlineStr">
        <is>
          <t>VÄRMLANDS LÄN</t>
        </is>
      </c>
      <c r="G718" t="inlineStr">
        <is>
          <t>SÄFFLE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46313</v>
      </c>
      <c r="F719" t="inlineStr">
        <is>
          <t>VÄRMLANDS LÄN</t>
        </is>
      </c>
      <c r="G719" t="inlineStr">
        <is>
          <t>SÄFFLE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46313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45427</v>
      </c>
      <c r="E721" s="1" t="n">
        <v>46313</v>
      </c>
      <c r="F721" t="inlineStr">
        <is>
          <t>VÄRMLANDS LÄN</t>
        </is>
      </c>
      <c r="G721" t="inlineStr">
        <is>
          <t>SÄFFLE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46313</v>
      </c>
      <c r="F722" t="inlineStr">
        <is>
          <t>VÄRMLANDS LÄN</t>
        </is>
      </c>
      <c r="G722" t="inlineStr">
        <is>
          <t>SÄFFLE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21980-2025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45784</v>
      </c>
      <c r="E723" s="1" t="n">
        <v>46313</v>
      </c>
      <c r="F723" t="inlineStr">
        <is>
          <t>VÄRMLANDS LÄN</t>
        </is>
      </c>
      <c r="G723" t="inlineStr">
        <is>
          <t>SÄFFLE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46313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61819-2024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45646</v>
      </c>
      <c r="E725" s="1" t="n">
        <v>46313</v>
      </c>
      <c r="F725" t="inlineStr">
        <is>
          <t>VÄRMLANDS LÄN</t>
        </is>
      </c>
      <c r="G725" t="inlineStr">
        <is>
          <t>SÄFFLE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45736</v>
      </c>
      <c r="E726" s="1" t="n">
        <v>46313</v>
      </c>
      <c r="F726" t="inlineStr">
        <is>
          <t>VÄRMLANDS LÄN</t>
        </is>
      </c>
      <c r="G726" t="inlineStr">
        <is>
          <t>SÄFFLE</t>
        </is>
      </c>
      <c r="I726" t="n">
        <v>8.5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46313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46313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35070-2026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46313</v>
      </c>
      <c r="F729" t="inlineStr">
        <is>
          <t>VÄRMLANDS LÄN</t>
        </is>
      </c>
      <c r="G729" t="inlineStr">
        <is>
          <t>SÄFFLE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55093-2022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44881</v>
      </c>
      <c r="E730" s="1" t="n">
        <v>46313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45791</v>
      </c>
      <c r="E731" s="1" t="n">
        <v>46313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45790</v>
      </c>
      <c r="E732" s="1" t="n">
        <v>46313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46313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45791</v>
      </c>
      <c r="E734" s="1" t="n">
        <v>46313</v>
      </c>
      <c r="F734" t="inlineStr">
        <is>
          <t>VÄRMLANDS LÄN</t>
        </is>
      </c>
      <c r="G734" t="inlineStr">
        <is>
          <t>SÄFFLE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46313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46313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22988-2025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46313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46313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46313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46304</v>
      </c>
      <c r="E740" s="1" t="n">
        <v>46313</v>
      </c>
      <c r="F740" t="inlineStr">
        <is>
          <t>VÄRMLANDS LÄN</t>
        </is>
      </c>
      <c r="G740" t="inlineStr">
        <is>
          <t>SÄFFLE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45239</v>
      </c>
      <c r="E741" s="1" t="n">
        <v>46313</v>
      </c>
      <c r="F741" t="inlineStr">
        <is>
          <t>VÄRMLANDS LÄN</t>
        </is>
      </c>
      <c r="G741" t="inlineStr">
        <is>
          <t>SÄFFLE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46313</v>
      </c>
      <c r="F742" t="inlineStr">
        <is>
          <t>VÄRMLANDS LÄN</t>
        </is>
      </c>
      <c r="G742" t="inlineStr">
        <is>
          <t>SÄFFLE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45707</v>
      </c>
      <c r="E743" s="1" t="n">
        <v>46313</v>
      </c>
      <c r="F743" t="inlineStr">
        <is>
          <t>VÄRMLANDS LÄN</t>
        </is>
      </c>
      <c r="G743" t="inlineStr">
        <is>
          <t>SÄFFLE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46313</v>
      </c>
      <c r="F744" t="inlineStr">
        <is>
          <t>VÄRMLANDS LÄN</t>
        </is>
      </c>
      <c r="G744" t="inlineStr">
        <is>
          <t>SÄFFLE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4093-2024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45323</v>
      </c>
      <c r="E745" s="1" t="n">
        <v>46313</v>
      </c>
      <c r="F745" t="inlineStr">
        <is>
          <t>VÄRMLANDS LÄN</t>
        </is>
      </c>
      <c r="G745" t="inlineStr">
        <is>
          <t>SÄFFLE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59632-2024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45638</v>
      </c>
      <c r="E746" s="1" t="n">
        <v>46313</v>
      </c>
      <c r="F746" t="inlineStr">
        <is>
          <t>VÄRMLANDS LÄN</t>
        </is>
      </c>
      <c r="G746" t="inlineStr">
        <is>
          <t>SÄFFLE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46313</v>
      </c>
      <c r="F747" t="inlineStr">
        <is>
          <t>VÄRMLANDS LÄN</t>
        </is>
      </c>
      <c r="G747" t="inlineStr">
        <is>
          <t>SÄFFLE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46266</v>
      </c>
      <c r="E748" s="1" t="n">
        <v>46313</v>
      </c>
      <c r="F748" t="inlineStr">
        <is>
          <t>VÄRMLANDS LÄN</t>
        </is>
      </c>
      <c r="G748" t="inlineStr">
        <is>
          <t>SÄFFLE</t>
        </is>
      </c>
      <c r="I748" t="n">
        <v>6.4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46266</v>
      </c>
      <c r="E749" s="1" t="n">
        <v>46313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45800</v>
      </c>
      <c r="E750" s="1" t="n">
        <v>46313</v>
      </c>
      <c r="F750" t="inlineStr">
        <is>
          <t>VÄRMLANDS LÄN</t>
        </is>
      </c>
      <c r="G750" t="inlineStr">
        <is>
          <t>SÄFFLE</t>
        </is>
      </c>
      <c r="I750" t="n">
        <v>16.1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35984-2026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46266</v>
      </c>
      <c r="E751" s="1" t="n">
        <v>46313</v>
      </c>
      <c r="F751" t="inlineStr">
        <is>
          <t>VÄRMLANDS LÄN</t>
        </is>
      </c>
      <c r="G751" t="inlineStr">
        <is>
          <t>SÄFFLE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45807</v>
      </c>
      <c r="E752" s="1" t="n">
        <v>46313</v>
      </c>
      <c r="F752" t="inlineStr">
        <is>
          <t>VÄRMLANDS LÄN</t>
        </is>
      </c>
      <c r="G752" t="inlineStr">
        <is>
          <t>SÄFFLE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53974-2024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46313</v>
      </c>
      <c r="F753" t="inlineStr">
        <is>
          <t>VÄRMLANDS LÄN</t>
        </is>
      </c>
      <c r="G753" t="inlineStr">
        <is>
          <t>SÄFFLE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45811</v>
      </c>
      <c r="E754" s="1" t="n">
        <v>46313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42555-2026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46308</v>
      </c>
      <c r="E755" s="1" t="n">
        <v>46313</v>
      </c>
      <c r="F755" t="inlineStr">
        <is>
          <t>VÄRMLANDS LÄN</t>
        </is>
      </c>
      <c r="G755" t="inlineStr">
        <is>
          <t>SÄFFLE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46313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46313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43158-2026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46309</v>
      </c>
      <c r="E758" s="1" t="n">
        <v>46313</v>
      </c>
      <c r="F758" t="inlineStr">
        <is>
          <t>VÄRMLANDS LÄN</t>
        </is>
      </c>
      <c r="G758" t="inlineStr">
        <is>
          <t>SÄFFLE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46575-2024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45582</v>
      </c>
      <c r="E759" s="1" t="n">
        <v>46313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26948-2025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46313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45503</v>
      </c>
      <c r="E761" s="1" t="n">
        <v>46313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9252-2024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45358</v>
      </c>
      <c r="E762" s="1" t="n">
        <v>46313</v>
      </c>
      <c r="F762" t="inlineStr">
        <is>
          <t>VÄRMLANDS LÄN</t>
        </is>
      </c>
      <c r="G762" t="inlineStr">
        <is>
          <t>SÄFFLE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57517-2024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45630</v>
      </c>
      <c r="E763" s="1" t="n">
        <v>46313</v>
      </c>
      <c r="F763" t="inlineStr">
        <is>
          <t>VÄRMLANDS LÄN</t>
        </is>
      </c>
      <c r="G763" t="inlineStr">
        <is>
          <t>SÄFFLE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44872</v>
      </c>
      <c r="E764" s="1" t="n">
        <v>46313</v>
      </c>
      <c r="F764" t="inlineStr">
        <is>
          <t>VÄRMLANDS LÄN</t>
        </is>
      </c>
      <c r="G764" t="inlineStr">
        <is>
          <t>SÄFFLE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19815-2025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45771</v>
      </c>
      <c r="E765" s="1" t="n">
        <v>46313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52026-2024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45607</v>
      </c>
      <c r="E766" s="1" t="n">
        <v>46313</v>
      </c>
      <c r="F766" t="inlineStr">
        <is>
          <t>VÄRMLANDS LÄN</t>
        </is>
      </c>
      <c r="G766" t="inlineStr">
        <is>
          <t>SÄFFLE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45813</v>
      </c>
      <c r="E767" s="1" t="n">
        <v>46313</v>
      </c>
      <c r="F767" t="inlineStr">
        <is>
          <t>VÄRMLANDS LÄN</t>
        </is>
      </c>
      <c r="G767" t="inlineStr">
        <is>
          <t>SÄFFLE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45138-2024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45575</v>
      </c>
      <c r="E768" s="1" t="n">
        <v>46313</v>
      </c>
      <c r="F768" t="inlineStr">
        <is>
          <t>VÄRMLANDS LÄN</t>
        </is>
      </c>
      <c r="G768" t="inlineStr">
        <is>
          <t>SÄFFLE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45419</v>
      </c>
      <c r="E769" s="1" t="n">
        <v>46313</v>
      </c>
      <c r="F769" t="inlineStr">
        <is>
          <t>VÄRMLANDS LÄN</t>
        </is>
      </c>
      <c r="G769" t="inlineStr">
        <is>
          <t>SÄFFLE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55795-2024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46313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18549-2025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46313</v>
      </c>
      <c r="F771" t="inlineStr">
        <is>
          <t>VÄRMLANDS LÄN</t>
        </is>
      </c>
      <c r="G771" t="inlineStr">
        <is>
          <t>SÄFFLE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61608-2024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46313</v>
      </c>
      <c r="F772" t="inlineStr">
        <is>
          <t>VÄRMLANDS LÄN</t>
        </is>
      </c>
      <c r="G772" t="inlineStr">
        <is>
          <t>SÄFFLE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18040-2025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45761</v>
      </c>
      <c r="E773" s="1" t="n">
        <v>46313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45646</v>
      </c>
      <c r="E774" s="1" t="n">
        <v>46313</v>
      </c>
      <c r="F774" t="inlineStr">
        <is>
          <t>VÄRMLANDS LÄN</t>
        </is>
      </c>
      <c r="G774" t="inlineStr">
        <is>
          <t>SÄFFLE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45817</v>
      </c>
      <c r="E775" s="1" t="n">
        <v>46313</v>
      </c>
      <c r="F775" t="inlineStr">
        <is>
          <t>VÄRMLANDS LÄN</t>
        </is>
      </c>
      <c r="G775" t="inlineStr">
        <is>
          <t>SÄFFLE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28484-2025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45818</v>
      </c>
      <c r="E776" s="1" t="n">
        <v>46313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46309</v>
      </c>
      <c r="E777" s="1" t="n">
        <v>46313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17431-2025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46313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46313</v>
      </c>
      <c r="F779" t="inlineStr">
        <is>
          <t>VÄRMLANDS LÄN</t>
        </is>
      </c>
      <c r="G779" t="inlineStr">
        <is>
          <t>SÄFFLE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46310</v>
      </c>
      <c r="E780" s="1" t="n">
        <v>46313</v>
      </c>
      <c r="F780" t="inlineStr">
        <is>
          <t>VÄRMLANDS LÄN</t>
        </is>
      </c>
      <c r="G780" t="inlineStr">
        <is>
          <t>SÄFFLE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46309</v>
      </c>
      <c r="E781" s="1" t="n">
        <v>46313</v>
      </c>
      <c r="F781" t="inlineStr">
        <is>
          <t>VÄRMLANDS LÄN</t>
        </is>
      </c>
      <c r="G781" t="inlineStr">
        <is>
          <t>SÄFFLE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46309</v>
      </c>
      <c r="E782" s="1" t="n">
        <v>46313</v>
      </c>
      <c r="F782" t="inlineStr">
        <is>
          <t>VÄRMLANDS LÄN</t>
        </is>
      </c>
      <c r="G782" t="inlineStr">
        <is>
          <t>SÄFFLE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29593-2025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45825</v>
      </c>
      <c r="E783" s="1" t="n">
        <v>46313</v>
      </c>
      <c r="F783" t="inlineStr">
        <is>
          <t>VÄRMLANDS LÄN</t>
        </is>
      </c>
      <c r="G783" t="inlineStr">
        <is>
          <t>SÄFFLE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46313</v>
      </c>
      <c r="F784" t="inlineStr">
        <is>
          <t>VÄRMLANDS LÄN</t>
        </is>
      </c>
      <c r="G784" t="inlineStr">
        <is>
          <t>SÄFFLE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46309</v>
      </c>
      <c r="E785" s="1" t="n">
        <v>46313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43169-2026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46311</v>
      </c>
      <c r="E786" s="1" t="n">
        <v>46313</v>
      </c>
      <c r="F786" t="inlineStr">
        <is>
          <t>VÄRMLANDS LÄN</t>
        </is>
      </c>
      <c r="G786" t="inlineStr">
        <is>
          <t>SÄFFLE</t>
        </is>
      </c>
      <c r="H786" t="inlineStr">
        <is>
          <t>Kyrkan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30505-2025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45831</v>
      </c>
      <c r="E787" s="1" t="n">
        <v>46313</v>
      </c>
      <c r="F787" t="inlineStr">
        <is>
          <t>VÄRMLANDS LÄN</t>
        </is>
      </c>
      <c r="G787" t="inlineStr">
        <is>
          <t>SÄFFLE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45831</v>
      </c>
      <c r="E788" s="1" t="n">
        <v>46313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46313</v>
      </c>
      <c r="F789" t="inlineStr">
        <is>
          <t>VÄRMLANDS LÄN</t>
        </is>
      </c>
      <c r="G789" t="inlineStr">
        <is>
          <t>SÄFFLE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31245-2025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46313</v>
      </c>
      <c r="F790" t="inlineStr">
        <is>
          <t>VÄRMLANDS LÄN</t>
        </is>
      </c>
      <c r="G790" t="inlineStr">
        <is>
          <t>SÄFFLE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45835</v>
      </c>
      <c r="E791" s="1" t="n">
        <v>46313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45841</v>
      </c>
      <c r="E792" s="1" t="n">
        <v>46313</v>
      </c>
      <c r="F792" t="inlineStr">
        <is>
          <t>VÄRMLANDS LÄN</t>
        </is>
      </c>
      <c r="G792" t="inlineStr">
        <is>
          <t>SÄFFLE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46313</v>
      </c>
      <c r="F793" t="inlineStr">
        <is>
          <t>VÄRMLANDS LÄN</t>
        </is>
      </c>
      <c r="G793" t="inlineStr">
        <is>
          <t>SÄFFLE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9261-2024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45358</v>
      </c>
      <c r="E794" s="1" t="n">
        <v>46313</v>
      </c>
      <c r="F794" t="inlineStr">
        <is>
          <t>VÄRMLANDS LÄN</t>
        </is>
      </c>
      <c r="G794" t="inlineStr">
        <is>
          <t>SÄFFLE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31247-2025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45832</v>
      </c>
      <c r="E795" s="1" t="n">
        <v>46313</v>
      </c>
      <c r="F795" t="inlineStr">
        <is>
          <t>VÄRMLANDS LÄN</t>
        </is>
      </c>
      <c r="G795" t="inlineStr">
        <is>
          <t>SÄFFLE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45808</v>
      </c>
      <c r="E796" s="1" t="n">
        <v>46313</v>
      </c>
      <c r="F796" t="inlineStr">
        <is>
          <t>VÄRMLANDS LÄN</t>
        </is>
      </c>
      <c r="G796" t="inlineStr">
        <is>
          <t>SÄFFLE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34583-2025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46313</v>
      </c>
      <c r="F797" t="inlineStr">
        <is>
          <t>VÄRMLANDS LÄN</t>
        </is>
      </c>
      <c r="G797" t="inlineStr">
        <is>
          <t>SÄFFLE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46313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46313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45847</v>
      </c>
      <c r="E800" s="1" t="n">
        <v>46313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46313</v>
      </c>
      <c r="F801" t="inlineStr">
        <is>
          <t>VÄRMLANDS LÄN</t>
        </is>
      </c>
      <c r="G801" t="inlineStr">
        <is>
          <t>SÄFFLE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45871</v>
      </c>
      <c r="E802" s="1" t="n">
        <v>46313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46313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36899-2025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45874</v>
      </c>
      <c r="E804" s="1" t="n">
        <v>46313</v>
      </c>
      <c r="F804" t="inlineStr">
        <is>
          <t>VÄRMLANDS LÄN</t>
        </is>
      </c>
      <c r="G804" t="inlineStr">
        <is>
          <t>SÄFFLE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46313</v>
      </c>
      <c r="F805" t="inlineStr">
        <is>
          <t>VÄRMLANDS LÄN</t>
        </is>
      </c>
      <c r="G805" t="inlineStr">
        <is>
          <t>SÄFFLE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15333-2025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45746</v>
      </c>
      <c r="E806" s="1" t="n">
        <v>46313</v>
      </c>
      <c r="F806" t="inlineStr">
        <is>
          <t>VÄRMLANDS LÄN</t>
        </is>
      </c>
      <c r="G806" t="inlineStr">
        <is>
          <t>SÄFFLE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45537</v>
      </c>
      <c r="E807" s="1" t="n">
        <v>46313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45497</v>
      </c>
      <c r="E808" s="1" t="n">
        <v>46313</v>
      </c>
      <c r="F808" t="inlineStr">
        <is>
          <t>VÄRMLANDS LÄN</t>
        </is>
      </c>
      <c r="G808" t="inlineStr">
        <is>
          <t>SÄFFLE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45769</v>
      </c>
      <c r="E809" s="1" t="n">
        <v>46313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28004-2025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46313</v>
      </c>
      <c r="F810" t="inlineStr">
        <is>
          <t>VÄRMLANDS LÄN</t>
        </is>
      </c>
      <c r="G810" t="inlineStr">
        <is>
          <t>SÄFFLE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45877</v>
      </c>
      <c r="E811" s="1" t="n">
        <v>46313</v>
      </c>
      <c r="F811" t="inlineStr">
        <is>
          <t>VÄRMLANDS LÄN</t>
        </is>
      </c>
      <c r="G811" t="inlineStr">
        <is>
          <t>SÄFFLE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46313</v>
      </c>
      <c r="F812" t="inlineStr">
        <is>
          <t>VÄRMLANDS LÄN</t>
        </is>
      </c>
      <c r="G812" t="inlineStr">
        <is>
          <t>SÄFFLE</t>
        </is>
      </c>
      <c r="H812" t="inlineStr">
        <is>
          <t>Kyrkan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46313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46313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46313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46313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46313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46313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46313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46313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46313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46313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46313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46313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46313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46313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46313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46313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46313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46313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46313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46313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46313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2026-10-18T08:06:48Z</dcterms:created>
  <dcterms:modified xmlns:dcterms="http://purl.org/dc/terms/" xmlns:xsi="http://www.w3.org/2001/XMLSchema-instance" xsi:type="dcterms:W3CDTF">2026-10-18T08:06:49Z</dcterms:modified>
</cp:coreProperties>
</file>