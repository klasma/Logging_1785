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46257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46257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46257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46257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46257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46257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46257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46257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46257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46257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46257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46257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46257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46257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46257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46257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46257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46257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46257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46257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46257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HYPERLINK("https://klasma.github.io/Logging_1785/artfynd/A 19694-2024 artfynd.xlsx", "A 19694-2024")</f>
        <v/>
      </c>
      <c r="X27">
        <f>HYPERLINK("https://klasma.github.io/Logging_1785/kartor/A 19694-2024 karta.png", "A 19694-2024")</f>
        <v/>
      </c>
      <c r="Y27">
        <f>HYPERLINK("https://klasma.github.io/Logging_1785/kartor_geotiff/A 19694-2024 georefererad karta.tif", "A 19694-2024")</f>
        <v/>
      </c>
      <c r="AA27">
        <f>HYPERLINK("https://klasma.github.io/Logging_1785/klagomål/A 19694-2024 FSC-klagomål.docx", "A 19694-2024")</f>
        <v/>
      </c>
      <c r="AB27">
        <f>HYPERLINK("https://klasma.github.io/Logging_1785/klagomålsmail/A 19694-2024 FSC-klagomål mail.docx", "A 19694-2024")</f>
        <v/>
      </c>
      <c r="AC27">
        <f>HYPERLINK("https://klasma.github.io/Logging_1785/tillsyn/A 19694-2024 tillsynsbegäran.docx", "A 19694-2024")</f>
        <v/>
      </c>
      <c r="AD27">
        <f>HYPERLINK("https://klasma.github.io/Logging_1785/tillsynsmail/A 19694-2024 tillsynsbegäran mail.docx", "A 19694-2024")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46257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18622-2025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46257</v>
      </c>
      <c r="F29" t="inlineStr">
        <is>
          <t>VÄRMLANDS LÄN</t>
        </is>
      </c>
      <c r="G29" t="inlineStr">
        <is>
          <t>SÄFFLE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Äkta lopplummer</t>
        </is>
      </c>
      <c r="W29">
        <f>HYPERLINK("https://klasma.github.io/Logging_1785/artfynd/A 18622-2025 artfynd.xlsx", "A 18622-2025")</f>
        <v/>
      </c>
      <c r="X29">
        <f>HYPERLINK("https://klasma.github.io/Logging_1785/kartor/A 18622-2025 karta.png", "A 18622-2025")</f>
        <v/>
      </c>
      <c r="Y29">
        <f>HYPERLINK("https://klasma.github.io/Logging_1785/kartor_geotiff/A 18622-2025 georefererad karta.tif", "A 18622-2025")</f>
        <v/>
      </c>
      <c r="AA29">
        <f>HYPERLINK("https://klasma.github.io/Logging_1785/klagomål/A 18622-2025 FSC-klagomål.docx", "A 18622-2025")</f>
        <v/>
      </c>
      <c r="AB29">
        <f>HYPERLINK("https://klasma.github.io/Logging_1785/klagomålsmail/A 18622-2025 FSC-klagomål mail.docx", "A 18622-2025")</f>
        <v/>
      </c>
      <c r="AC29">
        <f>HYPERLINK("https://klasma.github.io/Logging_1785/tillsyn/A 18622-2025 tillsynsbegäran.docx", "A 18622-2025")</f>
        <v/>
      </c>
      <c r="AD29">
        <f>HYPERLINK("https://klasma.github.io/Logging_1785/tillsynsmail/A 18622-2025 tillsynsbegäran mail.docx", "A 18622-2025")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46257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12740-2024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45384</v>
      </c>
      <c r="E31" s="1" t="n">
        <v>46257</v>
      </c>
      <c r="F31" t="inlineStr">
        <is>
          <t>VÄRMLANDS LÄN</t>
        </is>
      </c>
      <c r="G31" t="inlineStr">
        <is>
          <t>SÄFFLE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HYPERLINK("https://klasma.github.io/Logging_1785/artfynd/A 12740-2024 artfynd.xlsx", "A 12740-2024")</f>
        <v/>
      </c>
      <c r="X31">
        <f>HYPERLINK("https://klasma.github.io/Logging_1785/kartor/A 12740-2024 karta.png", "A 12740-2024")</f>
        <v/>
      </c>
      <c r="Y31">
        <f>HYPERLINK("https://klasma.github.io/Logging_1785/kartor_geotiff/A 12740-2024 georefererad karta.tif", "A 12740-2024")</f>
        <v/>
      </c>
      <c r="AA31">
        <f>HYPERLINK("https://klasma.github.io/Logging_1785/klagomål/A 12740-2024 FSC-klagomål.docx", "A 12740-2024")</f>
        <v/>
      </c>
      <c r="AB31">
        <f>HYPERLINK("https://klasma.github.io/Logging_1785/klagomålsmail/A 12740-2024 FSC-klagomål mail.docx", "A 12740-2024")</f>
        <v/>
      </c>
      <c r="AC31">
        <f>HYPERLINK("https://klasma.github.io/Logging_1785/tillsyn/A 12740-2024 tillsynsbegäran.docx", "A 12740-2024")</f>
        <v/>
      </c>
      <c r="AD31">
        <f>HYPERLINK("https://klasma.github.io/Logging_1785/tillsynsmail/A 12740-2024 tillsynsbegäran mail.docx", "A 12740-2024")</f>
        <v/>
      </c>
    </row>
    <row r="32" ht="15" customHeight="1">
      <c r="A32" t="inlineStr">
        <is>
          <t>A 36273-2024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46257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36273-2024 artfynd.xlsx", "A 36273-2024")</f>
        <v/>
      </c>
      <c r="X32">
        <f>HYPERLINK("https://klasma.github.io/Logging_1785/kartor/A 36273-2024 karta.png", "A 36273-2024")</f>
        <v/>
      </c>
      <c r="Y32">
        <f>HYPERLINK("https://klasma.github.io/Logging_1785/kartor_geotiff/A 36273-2024 georefererad karta.tif", "A 36273-2024")</f>
        <v/>
      </c>
      <c r="AA32">
        <f>HYPERLINK("https://klasma.github.io/Logging_1785/klagomål/A 36273-2024 FSC-klagomål.docx", "A 36273-2024")</f>
        <v/>
      </c>
      <c r="AB32">
        <f>HYPERLINK("https://klasma.github.io/Logging_1785/klagomålsmail/A 36273-2024 FSC-klagomål mail.docx", "A 36273-2024")</f>
        <v/>
      </c>
      <c r="AC32">
        <f>HYPERLINK("https://klasma.github.io/Logging_1785/tillsyn/A 36273-2024 tillsynsbegäran.docx", "A 36273-2024")</f>
        <v/>
      </c>
      <c r="AD32">
        <f>HYPERLINK("https://klasma.github.io/Logging_1785/tillsynsmail/A 36273-2024 tillsynsbegäran mail.docx", "A 36273-2024")</f>
        <v/>
      </c>
    </row>
    <row r="33" ht="15" customHeight="1">
      <c r="A33" t="inlineStr">
        <is>
          <t>A 38621-2023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46257</v>
      </c>
      <c r="F33" t="inlineStr">
        <is>
          <t>VÄRMLANDS LÄN</t>
        </is>
      </c>
      <c r="G33" t="inlineStr">
        <is>
          <t>SÄFFLE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Åkerkulla</t>
        </is>
      </c>
      <c r="W33">
        <f>HYPERLINK("https://klasma.github.io/Logging_1785/artfynd/A 38621-2023 artfynd.xlsx", "A 38621-2023")</f>
        <v/>
      </c>
      <c r="X33">
        <f>HYPERLINK("https://klasma.github.io/Logging_1785/kartor/A 38621-2023 karta.png", "A 38621-2023")</f>
        <v/>
      </c>
      <c r="Y33">
        <f>HYPERLINK("https://klasma.github.io/Logging_1785/kartor_geotiff/A 38621-2023 georefererad karta.tif", "A 38621-2023")</f>
        <v/>
      </c>
      <c r="AA33">
        <f>HYPERLINK("https://klasma.github.io/Logging_1785/klagomål/A 38621-2023 FSC-klagomål.docx", "A 38621-2023")</f>
        <v/>
      </c>
      <c r="AB33">
        <f>HYPERLINK("https://klasma.github.io/Logging_1785/klagomålsmail/A 38621-2023 FSC-klagomål mail.docx", "A 38621-2023")</f>
        <v/>
      </c>
      <c r="AC33">
        <f>HYPERLINK("https://klasma.github.io/Logging_1785/tillsyn/A 38621-2023 tillsynsbegäran.docx", "A 38621-2023")</f>
        <v/>
      </c>
      <c r="AD33">
        <f>HYPERLINK("https://klasma.github.io/Logging_1785/tillsynsmail/A 38621-2023 tillsynsbegäran mail.docx", "A 38621-2023")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46257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46257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46257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11933-2025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45728</v>
      </c>
      <c r="E37" s="1" t="n">
        <v>46257</v>
      </c>
      <c r="F37" t="inlineStr">
        <is>
          <t>VÄRMLANDS LÄN</t>
        </is>
      </c>
      <c r="G37" t="inlineStr">
        <is>
          <t>SÄFFLE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6</v>
      </c>
      <c r="U37" t="n">
        <v>0</v>
      </c>
      <c r="V37" s="2" t="inlineStr">
        <is>
          <t>Skogsklocka</t>
        </is>
      </c>
      <c r="W37">
        <f>HYPERLINK("https://klasma.github.io/Logging_1785/artfynd/A 11933-2025 artfynd.xlsx", "A 11933-2025")</f>
        <v/>
      </c>
      <c r="X37">
        <f>HYPERLINK("https://klasma.github.io/Logging_1785/kartor/A 11933-2025 karta.png", "A 11933-2025")</f>
        <v/>
      </c>
      <c r="Y37">
        <f>HYPERLINK("https://klasma.github.io/Logging_1785/kartor_geotiff/A 11933-2025 georefererad karta.tif", "A 11933-2025")</f>
        <v/>
      </c>
      <c r="AA37">
        <f>HYPERLINK("https://klasma.github.io/Logging_1785/klagomål/A 11933-2025 FSC-klagomål.docx", "A 11933-2025")</f>
        <v/>
      </c>
      <c r="AB37">
        <f>HYPERLINK("https://klasma.github.io/Logging_1785/klagomålsmail/A 11933-2025 FSC-klagomål mail.docx", "A 11933-2025")</f>
        <v/>
      </c>
      <c r="AC37">
        <f>HYPERLINK("https://klasma.github.io/Logging_1785/tillsyn/A 11933-2025 tillsynsbegäran.docx", "A 11933-2025")</f>
        <v/>
      </c>
      <c r="AD37">
        <f>HYPERLINK("https://klasma.github.io/Logging_1785/tillsynsmail/A 11933-2025 tillsynsbegäran mail.docx", "A 11933-2025")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46257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2740-2023 artfynd.xlsx", "A 2740-2023")</f>
        <v/>
      </c>
      <c r="X38">
        <f>HYPERLINK("https://klasma.github.io/Logging_1785/kartor/A 2740-2023 karta.png", "A 2740-2023")</f>
        <v/>
      </c>
      <c r="Y38">
        <f>HYPERLINK("https://klasma.github.io/Logging_1785/kartor_geotiff/A 2740-2023 georefererad karta.tif", "A 2740-2023")</f>
        <v/>
      </c>
      <c r="AA38">
        <f>HYPERLINK("https://klasma.github.io/Logging_1785/klagomål/A 2740-2023 FSC-klagomål.docx", "A 2740-2023")</f>
        <v/>
      </c>
      <c r="AB38">
        <f>HYPERLINK("https://klasma.github.io/Logging_1785/klagomålsmail/A 2740-2023 FSC-klagomål mail.docx", "A 2740-2023")</f>
        <v/>
      </c>
      <c r="AC38">
        <f>HYPERLINK("https://klasma.github.io/Logging_1785/tillsyn/A 2740-2023 tillsynsbegäran.docx", "A 2740-2023")</f>
        <v/>
      </c>
      <c r="AD38">
        <f>HYPERLINK("https://klasma.github.io/Logging_1785/tillsynsmail/A 2740-2023 tillsynsbegäran mail.docx", "A 2740-2023")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46257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46257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31657-2023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46257</v>
      </c>
      <c r="F41" t="inlineStr">
        <is>
          <t>VÄRMLANDS LÄN</t>
        </is>
      </c>
      <c r="G41" t="inlineStr">
        <is>
          <t>SÄFFLE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Vanlig groda</t>
        </is>
      </c>
      <c r="W41">
        <f>HYPERLINK("https://klasma.github.io/Logging_1785/artfynd/A 31657-2023 artfynd.xlsx", "A 31657-2023")</f>
        <v/>
      </c>
      <c r="X41">
        <f>HYPERLINK("https://klasma.github.io/Logging_1785/kartor/A 31657-2023 karta.png", "A 31657-2023")</f>
        <v/>
      </c>
      <c r="Y41">
        <f>HYPERLINK("https://klasma.github.io/Logging_1785/kartor_geotiff/A 31657-2023 georefererad karta.tif", "A 31657-2023")</f>
        <v/>
      </c>
      <c r="AA41">
        <f>HYPERLINK("https://klasma.github.io/Logging_1785/klagomål/A 31657-2023 FSC-klagomål.docx", "A 31657-2023")</f>
        <v/>
      </c>
      <c r="AB41">
        <f>HYPERLINK("https://klasma.github.io/Logging_1785/klagomålsmail/A 31657-2023 FSC-klagomål mail.docx", "A 31657-2023")</f>
        <v/>
      </c>
      <c r="AC41">
        <f>HYPERLINK("https://klasma.github.io/Logging_1785/tillsyn/A 31657-2023 tillsynsbegäran.docx", "A 31657-2023")</f>
        <v/>
      </c>
      <c r="AD41">
        <f>HYPERLINK("https://klasma.github.io/Logging_1785/tillsynsmail/A 31657-2023 tillsynsbegäran mail.docx", "A 31657-2023")</f>
        <v/>
      </c>
    </row>
    <row r="42" ht="15" customHeight="1">
      <c r="A42" t="inlineStr">
        <is>
          <t>A 4134-2024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45323</v>
      </c>
      <c r="E42" s="1" t="n">
        <v>46257</v>
      </c>
      <c r="F42" t="inlineStr">
        <is>
          <t>VÄRMLANDS LÄN</t>
        </is>
      </c>
      <c r="G42" t="inlineStr">
        <is>
          <t>SÄFFLE</t>
        </is>
      </c>
      <c r="I42" t="n">
        <v>4.1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HYPERLINK("https://klasma.github.io/Logging_1785/artfynd/A 4134-2024 artfynd.xlsx", "A 4134-2024")</f>
        <v/>
      </c>
      <c r="X42">
        <f>HYPERLINK("https://klasma.github.io/Logging_1785/kartor/A 4134-2024 karta.png", "A 4134-2024")</f>
        <v/>
      </c>
      <c r="Y42">
        <f>HYPERLINK("https://klasma.github.io/Logging_1785/kartor_geotiff/A 4134-2024 georefererad karta.tif", "A 4134-2024")</f>
        <v/>
      </c>
      <c r="AA42">
        <f>HYPERLINK("https://klasma.github.io/Logging_1785/klagomål/A 4134-2024 FSC-klagomål.docx", "A 4134-2024")</f>
        <v/>
      </c>
      <c r="AB42">
        <f>HYPERLINK("https://klasma.github.io/Logging_1785/klagomålsmail/A 4134-2024 FSC-klagomål mail.docx", "A 4134-2024")</f>
        <v/>
      </c>
      <c r="AC42">
        <f>HYPERLINK("https://klasma.github.io/Logging_1785/tillsyn/A 4134-2024 tillsynsbegäran.docx", "A 4134-2024")</f>
        <v/>
      </c>
      <c r="AD42">
        <f>HYPERLINK("https://klasma.github.io/Logging_1785/tillsynsmail/A 4134-2024 tillsynsbegäran mail.docx", "A 4134-2024")</f>
        <v/>
      </c>
    </row>
    <row r="43" ht="15" customHeight="1">
      <c r="A43" t="inlineStr">
        <is>
          <t>A 48322-2021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44450</v>
      </c>
      <c r="E43" s="1" t="n">
        <v>46257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48322-2021 artfynd.xlsx", "A 48322-2021")</f>
        <v/>
      </c>
      <c r="X43">
        <f>HYPERLINK("https://klasma.github.io/Logging_1785/kartor/A 48322-2021 karta.png", "A 48322-2021")</f>
        <v/>
      </c>
      <c r="Y43">
        <f>HYPERLINK("https://klasma.github.io/Logging_1785/kartor_geotiff/A 48322-2021 georefererad karta.tif", "A 48322-2021")</f>
        <v/>
      </c>
      <c r="AA43">
        <f>HYPERLINK("https://klasma.github.io/Logging_1785/klagomål/A 48322-2021 FSC-klagomål.docx", "A 48322-2021")</f>
        <v/>
      </c>
      <c r="AB43">
        <f>HYPERLINK("https://klasma.github.io/Logging_1785/klagomålsmail/A 48322-2021 FSC-klagomål mail.docx", "A 48322-2021")</f>
        <v/>
      </c>
      <c r="AC43">
        <f>HYPERLINK("https://klasma.github.io/Logging_1785/tillsyn/A 48322-2021 tillsynsbegäran.docx", "A 48322-2021")</f>
        <v/>
      </c>
      <c r="AD43">
        <f>HYPERLINK("https://klasma.github.io/Logging_1785/tillsynsmail/A 48322-2021 tillsynsbegäran mail.docx", "A 48322-2021")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46257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33538-2025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46257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33538-2025 artfynd.xlsx", "A 33538-2025")</f>
        <v/>
      </c>
      <c r="X45">
        <f>HYPERLINK("https://klasma.github.io/Logging_1785/kartor/A 33538-2025 karta.png", "A 33538-2025")</f>
        <v/>
      </c>
      <c r="Y45">
        <f>HYPERLINK("https://klasma.github.io/Logging_1785/kartor_geotiff/A 33538-2025 georefererad karta.tif", "A 33538-2025")</f>
        <v/>
      </c>
      <c r="AA45">
        <f>HYPERLINK("https://klasma.github.io/Logging_1785/klagomål/A 33538-2025 FSC-klagomål.docx", "A 33538-2025")</f>
        <v/>
      </c>
      <c r="AB45">
        <f>HYPERLINK("https://klasma.github.io/Logging_1785/klagomålsmail/A 33538-2025 FSC-klagomål mail.docx", "A 33538-2025")</f>
        <v/>
      </c>
      <c r="AC45">
        <f>HYPERLINK("https://klasma.github.io/Logging_1785/tillsyn/A 33538-2025 tillsynsbegäran.docx", "A 33538-2025")</f>
        <v/>
      </c>
      <c r="AD45">
        <f>HYPERLINK("https://klasma.github.io/Logging_1785/tillsynsmail/A 33538-2025 tillsynsbegäran mail.docx", "A 33538-2025")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46257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46257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46257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46257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46257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46257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46257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46257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46257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46257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46257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46257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46257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46257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46257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46257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46257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46257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46257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46257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46257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46257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46257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46257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46257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46257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46257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46257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46257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46257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46257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46257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46257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46257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46257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46257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46257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46257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46257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46257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53174-2021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46257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46257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46257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46257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46257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46257</v>
      </c>
      <c r="F91" t="inlineStr">
        <is>
          <t>VÄRMLANDS LÄN</t>
        </is>
      </c>
      <c r="G91" t="inlineStr">
        <is>
          <t>SÄFFLE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45554-2021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44440</v>
      </c>
      <c r="E92" s="1" t="n">
        <v>46257</v>
      </c>
      <c r="F92" t="inlineStr">
        <is>
          <t>VÄRMLANDS LÄN</t>
        </is>
      </c>
      <c r="G92" t="inlineStr">
        <is>
          <t>SÄFFLE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44438</v>
      </c>
      <c r="E93" s="1" t="n">
        <v>46257</v>
      </c>
      <c r="F93" t="inlineStr">
        <is>
          <t>VÄRMLANDS LÄN</t>
        </is>
      </c>
      <c r="G93" t="inlineStr">
        <is>
          <t>SÄFFLE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46257</v>
      </c>
      <c r="F94" t="inlineStr">
        <is>
          <t>VÄRMLANDS LÄN</t>
        </is>
      </c>
      <c r="G94" t="inlineStr">
        <is>
          <t>SÄFFLE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46257</v>
      </c>
      <c r="F95" t="inlineStr">
        <is>
          <t>VÄRMLANDS LÄN</t>
        </is>
      </c>
      <c r="G95" t="inlineStr">
        <is>
          <t>SÄFFLE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46257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46257</v>
      </c>
      <c r="F97" t="inlineStr">
        <is>
          <t>VÄRMLANDS LÄN</t>
        </is>
      </c>
      <c r="G97" t="inlineStr">
        <is>
          <t>SÄFFLE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44846</v>
      </c>
      <c r="E98" s="1" t="n">
        <v>46257</v>
      </c>
      <c r="F98" t="inlineStr">
        <is>
          <t>VÄRMLANDS LÄN</t>
        </is>
      </c>
      <c r="G98" t="inlineStr">
        <is>
          <t>SÄFFLE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46257</v>
      </c>
      <c r="F99" t="inlineStr">
        <is>
          <t>VÄRMLANDS LÄN</t>
        </is>
      </c>
      <c r="G99" t="inlineStr">
        <is>
          <t>SÄFFLE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46257</v>
      </c>
      <c r="F100" t="inlineStr">
        <is>
          <t>VÄRMLANDS LÄN</t>
        </is>
      </c>
      <c r="G100" t="inlineStr">
        <is>
          <t>SÄFFLE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46257</v>
      </c>
      <c r="F101" t="inlineStr">
        <is>
          <t>VÄRMLANDS LÄN</t>
        </is>
      </c>
      <c r="G101" t="inlineStr">
        <is>
          <t>SÄFFLE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46257</v>
      </c>
      <c r="F102" t="inlineStr">
        <is>
          <t>VÄRMLANDS LÄN</t>
        </is>
      </c>
      <c r="G102" t="inlineStr">
        <is>
          <t>SÄFFLE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46257</v>
      </c>
      <c r="F103" t="inlineStr">
        <is>
          <t>VÄRMLANDS LÄN</t>
        </is>
      </c>
      <c r="G103" t="inlineStr">
        <is>
          <t>SÄFFLE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44861</v>
      </c>
      <c r="E104" s="1" t="n">
        <v>46257</v>
      </c>
      <c r="F104" t="inlineStr">
        <is>
          <t>VÄRMLANDS LÄN</t>
        </is>
      </c>
      <c r="G104" t="inlineStr">
        <is>
          <t>SÄFFLE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46257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46257</v>
      </c>
      <c r="F106" t="inlineStr">
        <is>
          <t>VÄRMLANDS LÄN</t>
        </is>
      </c>
      <c r="G106" t="inlineStr">
        <is>
          <t>SÄFFLE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46257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46257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46257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46257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46257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46257</v>
      </c>
      <c r="F112" t="inlineStr">
        <is>
          <t>VÄRMLANDS LÄN</t>
        </is>
      </c>
      <c r="G112" t="inlineStr">
        <is>
          <t>SÄFFLE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13757-2022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44649</v>
      </c>
      <c r="E113" s="1" t="n">
        <v>46257</v>
      </c>
      <c r="F113" t="inlineStr">
        <is>
          <t>VÄRMLANDS LÄN</t>
        </is>
      </c>
      <c r="G113" t="inlineStr">
        <is>
          <t>SÄFFLE</t>
        </is>
      </c>
      <c r="I113" t="n">
        <v>15.1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46257</v>
      </c>
      <c r="F114" t="inlineStr">
        <is>
          <t>VÄRMLANDS LÄN</t>
        </is>
      </c>
      <c r="G114" t="inlineStr">
        <is>
          <t>SÄFFLE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73162-2021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44550</v>
      </c>
      <c r="E115" s="1" t="n">
        <v>46257</v>
      </c>
      <c r="F115" t="inlineStr">
        <is>
          <t>VÄRMLANDS LÄN</t>
        </is>
      </c>
      <c r="G115" t="inlineStr">
        <is>
          <t>SÄFFLE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46257</v>
      </c>
      <c r="F116" t="inlineStr">
        <is>
          <t>VÄRMLANDS LÄN</t>
        </is>
      </c>
      <c r="G116" t="inlineStr">
        <is>
          <t>SÄFFLE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44819</v>
      </c>
      <c r="E117" s="1" t="n">
        <v>46257</v>
      </c>
      <c r="F117" t="inlineStr">
        <is>
          <t>VÄRMLANDS LÄN</t>
        </is>
      </c>
      <c r="G117" t="inlineStr">
        <is>
          <t>SÄFFLE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46257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44526</v>
      </c>
      <c r="E119" s="1" t="n">
        <v>46257</v>
      </c>
      <c r="F119" t="inlineStr">
        <is>
          <t>VÄRMLANDS LÄN</t>
        </is>
      </c>
      <c r="G119" t="inlineStr">
        <is>
          <t>SÄFFLE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46257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46257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44719</v>
      </c>
      <c r="E122" s="1" t="n">
        <v>46257</v>
      </c>
      <c r="F122" t="inlineStr">
        <is>
          <t>VÄRMLANDS LÄN</t>
        </is>
      </c>
      <c r="G122" t="inlineStr">
        <is>
          <t>SÄFFLE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46257</v>
      </c>
      <c r="F123" t="inlineStr">
        <is>
          <t>VÄRMLANDS LÄN</t>
        </is>
      </c>
      <c r="G123" t="inlineStr">
        <is>
          <t>SÄFFLE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46257</v>
      </c>
      <c r="F124" t="inlineStr">
        <is>
          <t>VÄRMLANDS LÄN</t>
        </is>
      </c>
      <c r="G124" t="inlineStr">
        <is>
          <t>SÄFFLE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46257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46257</v>
      </c>
      <c r="F126" t="inlineStr">
        <is>
          <t>VÄRMLANDS LÄN</t>
        </is>
      </c>
      <c r="G126" t="inlineStr">
        <is>
          <t>SÄFFLE</t>
        </is>
      </c>
      <c r="I126" t="n">
        <v>16.1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46257</v>
      </c>
      <c r="F127" t="inlineStr">
        <is>
          <t>VÄRMLANDS LÄN</t>
        </is>
      </c>
      <c r="G127" t="inlineStr">
        <is>
          <t>SÄFFLE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46257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46257</v>
      </c>
      <c r="F129" t="inlineStr">
        <is>
          <t>VÄRMLANDS LÄN</t>
        </is>
      </c>
      <c r="G129" t="inlineStr">
        <is>
          <t>SÄFFLE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46257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46257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46257</v>
      </c>
      <c r="F132" t="inlineStr">
        <is>
          <t>VÄRMLANDS LÄN</t>
        </is>
      </c>
      <c r="G132" t="inlineStr">
        <is>
          <t>SÄFFLE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46257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44679</v>
      </c>
      <c r="E134" s="1" t="n">
        <v>46257</v>
      </c>
      <c r="F134" t="inlineStr">
        <is>
          <t>VÄRMLANDS LÄN</t>
        </is>
      </c>
      <c r="G134" t="inlineStr">
        <is>
          <t>SÄFFLE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46257</v>
      </c>
      <c r="F135" t="inlineStr">
        <is>
          <t>VÄRMLANDS LÄN</t>
        </is>
      </c>
      <c r="G135" t="inlineStr">
        <is>
          <t>SÄFFLE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46257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46257</v>
      </c>
      <c r="F137" t="inlineStr">
        <is>
          <t>VÄRMLANDS LÄN</t>
        </is>
      </c>
      <c r="G137" t="inlineStr">
        <is>
          <t>SÄFFLE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46257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46257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46257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46257</v>
      </c>
      <c r="F141" t="inlineStr">
        <is>
          <t>VÄRMLANDS LÄN</t>
        </is>
      </c>
      <c r="G141" t="inlineStr">
        <is>
          <t>SÄFFLE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46257</v>
      </c>
      <c r="F142" t="inlineStr">
        <is>
          <t>VÄRMLANDS LÄN</t>
        </is>
      </c>
      <c r="G142" t="inlineStr">
        <is>
          <t>SÄFFLE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45503</v>
      </c>
      <c r="E143" s="1" t="n">
        <v>46257</v>
      </c>
      <c r="F143" t="inlineStr">
        <is>
          <t>VÄRMLANDS LÄN</t>
        </is>
      </c>
      <c r="G143" t="inlineStr">
        <is>
          <t>SÄFFLE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9252-2024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45358</v>
      </c>
      <c r="E144" s="1" t="n">
        <v>46257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46257</v>
      </c>
      <c r="F145" t="inlineStr">
        <is>
          <t>VÄRMLANDS LÄN</t>
        </is>
      </c>
      <c r="G145" t="inlineStr">
        <is>
          <t>SÄFFLE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44518</v>
      </c>
      <c r="E146" s="1" t="n">
        <v>46257</v>
      </c>
      <c r="F146" t="inlineStr">
        <is>
          <t>VÄRMLANDS LÄN</t>
        </is>
      </c>
      <c r="G146" t="inlineStr">
        <is>
          <t>SÄFFLE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44985</v>
      </c>
      <c r="E147" s="1" t="n">
        <v>46257</v>
      </c>
      <c r="F147" t="inlineStr">
        <is>
          <t>VÄRMLANDS LÄN</t>
        </is>
      </c>
      <c r="G147" t="inlineStr">
        <is>
          <t>SÄFFLE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44698</v>
      </c>
      <c r="E148" s="1" t="n">
        <v>46257</v>
      </c>
      <c r="F148" t="inlineStr">
        <is>
          <t>VÄRMLANDS LÄN</t>
        </is>
      </c>
      <c r="G148" t="inlineStr">
        <is>
          <t>SÄFFLE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51640-2022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46257</v>
      </c>
      <c r="F149" t="inlineStr">
        <is>
          <t>VÄRMLANDS LÄN</t>
        </is>
      </c>
      <c r="G149" t="inlineStr">
        <is>
          <t>SÄFFLE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46257</v>
      </c>
      <c r="F150" t="inlineStr">
        <is>
          <t>VÄRMLANDS LÄN</t>
        </is>
      </c>
      <c r="G150" t="inlineStr">
        <is>
          <t>SÄFFLE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46257</v>
      </c>
      <c r="F151" t="inlineStr">
        <is>
          <t>VÄRMLANDS LÄN</t>
        </is>
      </c>
      <c r="G151" t="inlineStr">
        <is>
          <t>SÄFFLE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46257</v>
      </c>
      <c r="F152" t="inlineStr">
        <is>
          <t>VÄRMLANDS LÄN</t>
        </is>
      </c>
      <c r="G152" t="inlineStr">
        <is>
          <t>SÄFFLE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46257</v>
      </c>
      <c r="F153" t="inlineStr">
        <is>
          <t>VÄRMLANDS LÄN</t>
        </is>
      </c>
      <c r="G153" t="inlineStr">
        <is>
          <t>SÄFFLE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46257</v>
      </c>
      <c r="F154" t="inlineStr">
        <is>
          <t>VÄRMLANDS LÄN</t>
        </is>
      </c>
      <c r="G154" t="inlineStr">
        <is>
          <t>SÄFFLE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46257</v>
      </c>
      <c r="F155" t="inlineStr">
        <is>
          <t>VÄRMLANDS LÄN</t>
        </is>
      </c>
      <c r="G155" t="inlineStr">
        <is>
          <t>SÄFFLE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46257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46257</v>
      </c>
      <c r="F157" t="inlineStr">
        <is>
          <t>VÄRMLANDS LÄN</t>
        </is>
      </c>
      <c r="G157" t="inlineStr">
        <is>
          <t>SÄFFLE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46257</v>
      </c>
      <c r="F158" t="inlineStr">
        <is>
          <t>VÄRMLANDS LÄN</t>
        </is>
      </c>
      <c r="G158" t="inlineStr">
        <is>
          <t>SÄFFLE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46257</v>
      </c>
      <c r="F159" t="inlineStr">
        <is>
          <t>VÄRMLANDS LÄN</t>
        </is>
      </c>
      <c r="G159" t="inlineStr">
        <is>
          <t>SÄFFLE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46257</v>
      </c>
      <c r="F160" t="inlineStr">
        <is>
          <t>VÄRMLANDS LÄN</t>
        </is>
      </c>
      <c r="G160" t="inlineStr">
        <is>
          <t>SÄFFLE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46257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46257</v>
      </c>
      <c r="F162" t="inlineStr">
        <is>
          <t>VÄRMLANDS LÄN</t>
        </is>
      </c>
      <c r="G162" t="inlineStr">
        <is>
          <t>SÄFFLE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18040-2025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45761</v>
      </c>
      <c r="E163" s="1" t="n">
        <v>46257</v>
      </c>
      <c r="F163" t="inlineStr">
        <is>
          <t>VÄRMLANDS LÄN</t>
        </is>
      </c>
      <c r="G163" t="inlineStr">
        <is>
          <t>SÄFFLE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46257</v>
      </c>
      <c r="F164" t="inlineStr">
        <is>
          <t>VÄRMLANDS LÄN</t>
        </is>
      </c>
      <c r="G164" t="inlineStr">
        <is>
          <t>SÄFFLE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46257</v>
      </c>
      <c r="F165" t="inlineStr">
        <is>
          <t>VÄRMLANDS LÄN</t>
        </is>
      </c>
      <c r="G165" t="inlineStr">
        <is>
          <t>SÄFFLE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46257</v>
      </c>
      <c r="F166" t="inlineStr">
        <is>
          <t>VÄRMLANDS LÄN</t>
        </is>
      </c>
      <c r="G166" t="inlineStr">
        <is>
          <t>SÄFFLE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46257</v>
      </c>
      <c r="F167" t="inlineStr">
        <is>
          <t>VÄRMLANDS LÄN</t>
        </is>
      </c>
      <c r="G167" t="inlineStr">
        <is>
          <t>SÄFFLE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46257</v>
      </c>
      <c r="F168" t="inlineStr">
        <is>
          <t>VÄRMLANDS LÄN</t>
        </is>
      </c>
      <c r="G168" t="inlineStr">
        <is>
          <t>SÄFFLE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46257</v>
      </c>
      <c r="F169" t="inlineStr">
        <is>
          <t>VÄRMLANDS LÄN</t>
        </is>
      </c>
      <c r="G169" t="inlineStr">
        <is>
          <t>SÄFFLE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53788-2022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44880</v>
      </c>
      <c r="E170" s="1" t="n">
        <v>46257</v>
      </c>
      <c r="F170" t="inlineStr">
        <is>
          <t>VÄRMLANDS LÄN</t>
        </is>
      </c>
      <c r="G170" t="inlineStr">
        <is>
          <t>SÄFFLE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46257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46257</v>
      </c>
      <c r="F172" t="inlineStr">
        <is>
          <t>VÄRMLANDS LÄN</t>
        </is>
      </c>
      <c r="G172" t="inlineStr">
        <is>
          <t>SÄFFLE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46257</v>
      </c>
      <c r="F173" t="inlineStr">
        <is>
          <t>VÄRMLANDS LÄN</t>
        </is>
      </c>
      <c r="G173" t="inlineStr">
        <is>
          <t>SÄFFLE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45356</v>
      </c>
      <c r="E174" s="1" t="n">
        <v>46257</v>
      </c>
      <c r="F174" t="inlineStr">
        <is>
          <t>VÄRMLANDS LÄN</t>
        </is>
      </c>
      <c r="G174" t="inlineStr">
        <is>
          <t>SÄFFLE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46257</v>
      </c>
      <c r="F175" t="inlineStr">
        <is>
          <t>VÄRMLANDS LÄN</t>
        </is>
      </c>
      <c r="G175" t="inlineStr">
        <is>
          <t>SÄFFLE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46257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46257</v>
      </c>
      <c r="F177" t="inlineStr">
        <is>
          <t>VÄRMLANDS LÄN</t>
        </is>
      </c>
      <c r="G177" t="inlineStr">
        <is>
          <t>SÄFFLE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46257</v>
      </c>
      <c r="F178" t="inlineStr">
        <is>
          <t>VÄRMLANDS LÄN</t>
        </is>
      </c>
      <c r="G178" t="inlineStr">
        <is>
          <t>SÄFFLE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46257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46257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46257</v>
      </c>
      <c r="F181" t="inlineStr">
        <is>
          <t>VÄRMLANDS LÄN</t>
        </is>
      </c>
      <c r="G181" t="inlineStr">
        <is>
          <t>SÄFFLE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46257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46257</v>
      </c>
      <c r="F183" t="inlineStr">
        <is>
          <t>VÄRMLANDS LÄN</t>
        </is>
      </c>
      <c r="G183" t="inlineStr">
        <is>
          <t>SÄFFLE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46257</v>
      </c>
      <c r="F184" t="inlineStr">
        <is>
          <t>VÄRMLANDS LÄN</t>
        </is>
      </c>
      <c r="G184" t="inlineStr">
        <is>
          <t>SÄFFLE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46257</v>
      </c>
      <c r="F185" t="inlineStr">
        <is>
          <t>VÄRMLANDS LÄN</t>
        </is>
      </c>
      <c r="G185" t="inlineStr">
        <is>
          <t>SÄFFLE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46257</v>
      </c>
      <c r="F186" t="inlineStr">
        <is>
          <t>VÄRMLANDS LÄN</t>
        </is>
      </c>
      <c r="G186" t="inlineStr">
        <is>
          <t>SÄFFLE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39985-2025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45893</v>
      </c>
      <c r="E187" s="1" t="n">
        <v>46257</v>
      </c>
      <c r="F187" t="inlineStr">
        <is>
          <t>VÄRMLANDS LÄN</t>
        </is>
      </c>
      <c r="G187" t="inlineStr">
        <is>
          <t>SÄFFLE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45893</v>
      </c>
      <c r="E188" s="1" t="n">
        <v>46257</v>
      </c>
      <c r="F188" t="inlineStr">
        <is>
          <t>VÄRMLANDS LÄN</t>
        </is>
      </c>
      <c r="G188" t="inlineStr">
        <is>
          <t>SÄFFLE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39984-2025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45893</v>
      </c>
      <c r="E189" s="1" t="n">
        <v>46257</v>
      </c>
      <c r="F189" t="inlineStr">
        <is>
          <t>VÄRMLANDS LÄN</t>
        </is>
      </c>
      <c r="G189" t="inlineStr">
        <is>
          <t>SÄFFLE</t>
        </is>
      </c>
      <c r="I189" t="n">
        <v>12.9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46257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46257</v>
      </c>
      <c r="F191" t="inlineStr">
        <is>
          <t>VÄRMLANDS LÄN</t>
        </is>
      </c>
      <c r="G191" t="inlineStr">
        <is>
          <t>SÄFFLE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46257</v>
      </c>
      <c r="F192" t="inlineStr">
        <is>
          <t>VÄRMLANDS LÄN</t>
        </is>
      </c>
      <c r="G192" t="inlineStr">
        <is>
          <t>SÄFFLE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46257</v>
      </c>
      <c r="F193" t="inlineStr">
        <is>
          <t>VÄRMLANDS LÄN</t>
        </is>
      </c>
      <c r="G193" t="inlineStr">
        <is>
          <t>SÄFFLE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73119-2021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44546</v>
      </c>
      <c r="E194" s="1" t="n">
        <v>46257</v>
      </c>
      <c r="F194" t="inlineStr">
        <is>
          <t>VÄRMLANDS LÄN</t>
        </is>
      </c>
      <c r="G194" t="inlineStr">
        <is>
          <t>SÄFFLE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46257</v>
      </c>
      <c r="F195" t="inlineStr">
        <is>
          <t>VÄRMLANDS LÄN</t>
        </is>
      </c>
      <c r="G195" t="inlineStr">
        <is>
          <t>SÄFFLE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46257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46257</v>
      </c>
      <c r="F197" t="inlineStr">
        <is>
          <t>VÄRMLANDS LÄN</t>
        </is>
      </c>
      <c r="G197" t="inlineStr">
        <is>
          <t>SÄFFLE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46257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46257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46257</v>
      </c>
      <c r="F200" t="inlineStr">
        <is>
          <t>VÄRMLANDS LÄN</t>
        </is>
      </c>
      <c r="G200" t="inlineStr">
        <is>
          <t>SÄFFLE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46257</v>
      </c>
      <c r="F201" t="inlineStr">
        <is>
          <t>VÄRMLANDS LÄN</t>
        </is>
      </c>
      <c r="G201" t="inlineStr">
        <is>
          <t>SÄFFLE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46257</v>
      </c>
      <c r="F202" t="inlineStr">
        <is>
          <t>VÄRMLANDS LÄN</t>
        </is>
      </c>
      <c r="G202" t="inlineStr">
        <is>
          <t>SÄFFLE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46257</v>
      </c>
      <c r="F203" t="inlineStr">
        <is>
          <t>VÄRMLANDS LÄN</t>
        </is>
      </c>
      <c r="G203" t="inlineStr">
        <is>
          <t>SÄFFLE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45723</v>
      </c>
      <c r="E204" s="1" t="n">
        <v>46257</v>
      </c>
      <c r="F204" t="inlineStr">
        <is>
          <t>VÄRMLANDS LÄN</t>
        </is>
      </c>
      <c r="G204" t="inlineStr">
        <is>
          <t>SÄFFLE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45306</v>
      </c>
      <c r="E205" s="1" t="n">
        <v>46257</v>
      </c>
      <c r="F205" t="inlineStr">
        <is>
          <t>VÄRMLANDS LÄN</t>
        </is>
      </c>
      <c r="G205" t="inlineStr">
        <is>
          <t>SÄFFLE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46257</v>
      </c>
      <c r="F206" t="inlineStr">
        <is>
          <t>VÄRMLANDS LÄN</t>
        </is>
      </c>
      <c r="G206" t="inlineStr">
        <is>
          <t>SÄFFLE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45301</v>
      </c>
      <c r="E207" s="1" t="n">
        <v>46257</v>
      </c>
      <c r="F207" t="inlineStr">
        <is>
          <t>VÄRMLANDS LÄN</t>
        </is>
      </c>
      <c r="G207" t="inlineStr">
        <is>
          <t>SÄFFLE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46257</v>
      </c>
      <c r="F208" t="inlineStr">
        <is>
          <t>VÄRMLANDS LÄN</t>
        </is>
      </c>
      <c r="G208" t="inlineStr">
        <is>
          <t>SÄFFLE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46257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46257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63781-2023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45278</v>
      </c>
      <c r="E211" s="1" t="n">
        <v>46257</v>
      </c>
      <c r="F211" t="inlineStr">
        <is>
          <t>VÄRMLANDS LÄN</t>
        </is>
      </c>
      <c r="G211" t="inlineStr">
        <is>
          <t>SÄFFLE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45480-2024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45576</v>
      </c>
      <c r="E212" s="1" t="n">
        <v>46257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46257</v>
      </c>
      <c r="F213" t="inlineStr">
        <is>
          <t>VÄRMLANDS LÄN</t>
        </is>
      </c>
      <c r="G213" t="inlineStr">
        <is>
          <t>SÄFFLE</t>
        </is>
      </c>
      <c r="H213" t="inlineStr">
        <is>
          <t>Kommuner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46257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46257</v>
      </c>
      <c r="F215" t="inlineStr">
        <is>
          <t>VÄRMLANDS LÄN</t>
        </is>
      </c>
      <c r="G215" t="inlineStr">
        <is>
          <t>SÄFFLE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46257</v>
      </c>
      <c r="F216" t="inlineStr">
        <is>
          <t>VÄRMLANDS LÄN</t>
        </is>
      </c>
      <c r="G216" t="inlineStr">
        <is>
          <t>SÄFFLE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15412-2022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44659</v>
      </c>
      <c r="E217" s="1" t="n">
        <v>46257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46257</v>
      </c>
      <c r="F218" t="inlineStr">
        <is>
          <t>VÄRMLANDS LÄN</t>
        </is>
      </c>
      <c r="G218" t="inlineStr">
        <is>
          <t>SÄFFLE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46257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46257</v>
      </c>
      <c r="F220" t="inlineStr">
        <is>
          <t>VÄRMLANDS LÄN</t>
        </is>
      </c>
      <c r="G220" t="inlineStr">
        <is>
          <t>SÄFFLE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43209-2025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45910</v>
      </c>
      <c r="E221" s="1" t="n">
        <v>46257</v>
      </c>
      <c r="F221" t="inlineStr">
        <is>
          <t>VÄRMLANDS LÄN</t>
        </is>
      </c>
      <c r="G221" t="inlineStr">
        <is>
          <t>SÄFFLE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46257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46257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46257</v>
      </c>
      <c r="F224" t="inlineStr">
        <is>
          <t>VÄRMLANDS LÄN</t>
        </is>
      </c>
      <c r="G224" t="inlineStr">
        <is>
          <t>SÄFFLE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46257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46257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46257</v>
      </c>
      <c r="F227" t="inlineStr">
        <is>
          <t>VÄRMLANDS LÄN</t>
        </is>
      </c>
      <c r="G227" t="inlineStr">
        <is>
          <t>SÄFFLE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46257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46257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46257</v>
      </c>
      <c r="F230" t="inlineStr">
        <is>
          <t>VÄRMLANDS LÄN</t>
        </is>
      </c>
      <c r="G230" t="inlineStr">
        <is>
          <t>SÄFFLE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19506-2023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45050</v>
      </c>
      <c r="E231" s="1" t="n">
        <v>46257</v>
      </c>
      <c r="F231" t="inlineStr">
        <is>
          <t>VÄRMLANDS LÄN</t>
        </is>
      </c>
      <c r="G231" t="inlineStr">
        <is>
          <t>SÄFFLE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45050</v>
      </c>
      <c r="E232" s="1" t="n">
        <v>46257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46257</v>
      </c>
      <c r="F233" t="inlineStr">
        <is>
          <t>VÄRMLANDS LÄN</t>
        </is>
      </c>
      <c r="G233" t="inlineStr">
        <is>
          <t>SÄFFLE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46257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46257</v>
      </c>
      <c r="F235" t="inlineStr">
        <is>
          <t>VÄRMLANDS LÄN</t>
        </is>
      </c>
      <c r="G235" t="inlineStr">
        <is>
          <t>SÄFFLE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31245-2025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45832</v>
      </c>
      <c r="E236" s="1" t="n">
        <v>46257</v>
      </c>
      <c r="F236" t="inlineStr">
        <is>
          <t>VÄRMLANDS LÄN</t>
        </is>
      </c>
      <c r="G236" t="inlineStr">
        <is>
          <t>SÄFFLE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45282</v>
      </c>
      <c r="E237" s="1" t="n">
        <v>46257</v>
      </c>
      <c r="F237" t="inlineStr">
        <is>
          <t>VÄRMLANDS LÄN</t>
        </is>
      </c>
      <c r="G237" t="inlineStr">
        <is>
          <t>SÄFFLE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46257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46257</v>
      </c>
      <c r="F239" t="inlineStr">
        <is>
          <t>VÄRMLANDS LÄN</t>
        </is>
      </c>
      <c r="G239" t="inlineStr">
        <is>
          <t>SÄFFLE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45621</v>
      </c>
      <c r="E240" s="1" t="n">
        <v>46257</v>
      </c>
      <c r="F240" t="inlineStr">
        <is>
          <t>VÄRMLANDS LÄN</t>
        </is>
      </c>
      <c r="G240" t="inlineStr">
        <is>
          <t>SÄFFLE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46257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46257</v>
      </c>
      <c r="F242" t="inlineStr">
        <is>
          <t>VÄRMLANDS LÄN</t>
        </is>
      </c>
      <c r="G242" t="inlineStr">
        <is>
          <t>SÄFFLE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46257</v>
      </c>
      <c r="F243" t="inlineStr">
        <is>
          <t>VÄRMLANDS LÄN</t>
        </is>
      </c>
      <c r="G243" t="inlineStr">
        <is>
          <t>SÄFFLE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64073-2023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45279</v>
      </c>
      <c r="E244" s="1" t="n">
        <v>46257</v>
      </c>
      <c r="F244" t="inlineStr">
        <is>
          <t>VÄRMLANDS LÄN</t>
        </is>
      </c>
      <c r="G244" t="inlineStr">
        <is>
          <t>SÄFFLE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44745</v>
      </c>
      <c r="E245" s="1" t="n">
        <v>46257</v>
      </c>
      <c r="F245" t="inlineStr">
        <is>
          <t>VÄRMLANDS LÄN</t>
        </is>
      </c>
      <c r="G245" t="inlineStr">
        <is>
          <t>SÄFFLE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46257</v>
      </c>
      <c r="F246" t="inlineStr">
        <is>
          <t>VÄRMLANDS LÄN</t>
        </is>
      </c>
      <c r="G246" t="inlineStr">
        <is>
          <t>SÄFFLE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46257</v>
      </c>
      <c r="F247" t="inlineStr">
        <is>
          <t>VÄRMLANDS LÄN</t>
        </is>
      </c>
      <c r="G247" t="inlineStr">
        <is>
          <t>SÄFFLE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46257</v>
      </c>
      <c r="F248" t="inlineStr">
        <is>
          <t>VÄRMLANDS LÄN</t>
        </is>
      </c>
      <c r="G248" t="inlineStr">
        <is>
          <t>SÄFFLE</t>
        </is>
      </c>
      <c r="I248" t="n">
        <v>19.9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46257</v>
      </c>
      <c r="F249" t="inlineStr">
        <is>
          <t>VÄRMLANDS LÄN</t>
        </is>
      </c>
      <c r="G249" t="inlineStr">
        <is>
          <t>SÄFFLE</t>
        </is>
      </c>
      <c r="H249" t="inlineStr">
        <is>
          <t>Kyrkan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46257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46257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44512</v>
      </c>
      <c r="E252" s="1" t="n">
        <v>46257</v>
      </c>
      <c r="F252" t="inlineStr">
        <is>
          <t>VÄRMLANDS LÄN</t>
        </is>
      </c>
      <c r="G252" t="inlineStr">
        <is>
          <t>SÄFFLE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46257</v>
      </c>
      <c r="F253" t="inlineStr">
        <is>
          <t>VÄRMLANDS LÄN</t>
        </is>
      </c>
      <c r="G253" t="inlineStr">
        <is>
          <t>SÄFFLE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46257</v>
      </c>
      <c r="F254" t="inlineStr">
        <is>
          <t>VÄRMLANDS LÄN</t>
        </is>
      </c>
      <c r="G254" t="inlineStr">
        <is>
          <t>SÄFFLE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46257</v>
      </c>
      <c r="F255" t="inlineStr">
        <is>
          <t>VÄRMLANDS LÄN</t>
        </is>
      </c>
      <c r="G255" t="inlineStr">
        <is>
          <t>SÄFFLE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44709</v>
      </c>
      <c r="E256" s="1" t="n">
        <v>46257</v>
      </c>
      <c r="F256" t="inlineStr">
        <is>
          <t>VÄRMLANDS LÄN</t>
        </is>
      </c>
      <c r="G256" t="inlineStr">
        <is>
          <t>SÄFFLE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45171</v>
      </c>
      <c r="E257" s="1" t="n">
        <v>46257</v>
      </c>
      <c r="F257" t="inlineStr">
        <is>
          <t>VÄRMLANDS LÄN</t>
        </is>
      </c>
      <c r="G257" t="inlineStr">
        <is>
          <t>SÄFFLE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42067-2022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46257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46257</v>
      </c>
      <c r="F259" t="inlineStr">
        <is>
          <t>VÄRMLANDS LÄN</t>
        </is>
      </c>
      <c r="G259" t="inlineStr">
        <is>
          <t>SÄFFLE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46257</v>
      </c>
      <c r="F260" t="inlineStr">
        <is>
          <t>VÄRMLANDS LÄN</t>
        </is>
      </c>
      <c r="G260" t="inlineStr">
        <is>
          <t>SÄFFLE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46257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46257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46257</v>
      </c>
      <c r="F263" t="inlineStr">
        <is>
          <t>VÄRMLANDS LÄN</t>
        </is>
      </c>
      <c r="G263" t="inlineStr">
        <is>
          <t>SÄFFLE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46257</v>
      </c>
      <c r="F264" t="inlineStr">
        <is>
          <t>VÄRMLANDS LÄN</t>
        </is>
      </c>
      <c r="G264" t="inlineStr">
        <is>
          <t>SÄFFLE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44564</v>
      </c>
      <c r="E265" s="1" t="n">
        <v>46257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47154-2025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46257</v>
      </c>
      <c r="F266" t="inlineStr">
        <is>
          <t>VÄRMLANDS LÄN</t>
        </is>
      </c>
      <c r="G266" t="inlineStr">
        <is>
          <t>SÄFFLE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45237</v>
      </c>
      <c r="E267" s="1" t="n">
        <v>46257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45677</v>
      </c>
      <c r="E268" s="1" t="n">
        <v>46257</v>
      </c>
      <c r="F268" t="inlineStr">
        <is>
          <t>VÄRMLANDS LÄN</t>
        </is>
      </c>
      <c r="G268" t="inlineStr">
        <is>
          <t>SÄFFLE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46257</v>
      </c>
      <c r="F269" t="inlineStr">
        <is>
          <t>VÄRMLANDS LÄN</t>
        </is>
      </c>
      <c r="G269" t="inlineStr">
        <is>
          <t>SÄFFLE</t>
        </is>
      </c>
      <c r="I269" t="n">
        <v>17.3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46257</v>
      </c>
      <c r="F270" t="inlineStr">
        <is>
          <t>VÄRMLANDS LÄN</t>
        </is>
      </c>
      <c r="G270" t="inlineStr">
        <is>
          <t>SÄFFLE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45249</v>
      </c>
      <c r="E271" s="1" t="n">
        <v>46257</v>
      </c>
      <c r="F271" t="inlineStr">
        <is>
          <t>VÄRMLANDS LÄN</t>
        </is>
      </c>
      <c r="G271" t="inlineStr">
        <is>
          <t>SÄFFLE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46257</v>
      </c>
      <c r="F272" t="inlineStr">
        <is>
          <t>VÄRMLANDS LÄN</t>
        </is>
      </c>
      <c r="G272" t="inlineStr">
        <is>
          <t>SÄFFLE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46257</v>
      </c>
      <c r="F273" t="inlineStr">
        <is>
          <t>VÄRMLANDS LÄN</t>
        </is>
      </c>
      <c r="G273" t="inlineStr">
        <is>
          <t>SÄFFLE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45523</v>
      </c>
      <c r="E274" s="1" t="n">
        <v>46257</v>
      </c>
      <c r="F274" t="inlineStr">
        <is>
          <t>VÄRMLANDS LÄN</t>
        </is>
      </c>
      <c r="G274" t="inlineStr">
        <is>
          <t>SÄFFLE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45631</v>
      </c>
      <c r="E275" s="1" t="n">
        <v>46257</v>
      </c>
      <c r="F275" t="inlineStr">
        <is>
          <t>VÄRMLANDS LÄN</t>
        </is>
      </c>
      <c r="G275" t="inlineStr">
        <is>
          <t>SÄFFLE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44627</v>
      </c>
      <c r="E276" s="1" t="n">
        <v>46257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46257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46257</v>
      </c>
      <c r="F278" t="inlineStr">
        <is>
          <t>VÄRMLANDS LÄN</t>
        </is>
      </c>
      <c r="G278" t="inlineStr">
        <is>
          <t>SÄFFLE</t>
        </is>
      </c>
      <c r="H278" t="inlineStr">
        <is>
          <t>Kommuner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46257</v>
      </c>
      <c r="F279" t="inlineStr">
        <is>
          <t>VÄRMLANDS LÄN</t>
        </is>
      </c>
      <c r="G279" t="inlineStr">
        <is>
          <t>SÄFFLE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46257</v>
      </c>
      <c r="F280" t="inlineStr">
        <is>
          <t>VÄRMLANDS LÄN</t>
        </is>
      </c>
      <c r="G280" t="inlineStr">
        <is>
          <t>SÄFFLE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46257</v>
      </c>
      <c r="F281" t="inlineStr">
        <is>
          <t>VÄRMLANDS LÄN</t>
        </is>
      </c>
      <c r="G281" t="inlineStr">
        <is>
          <t>SÄFFLE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46257</v>
      </c>
      <c r="F282" t="inlineStr">
        <is>
          <t>VÄRMLANDS LÄN</t>
        </is>
      </c>
      <c r="G282" t="inlineStr">
        <is>
          <t>SÄFFLE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45736</v>
      </c>
      <c r="E283" s="1" t="n">
        <v>46257</v>
      </c>
      <c r="F283" t="inlineStr">
        <is>
          <t>VÄRMLANDS LÄN</t>
        </is>
      </c>
      <c r="G283" t="inlineStr">
        <is>
          <t>SÄFFLE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46257</v>
      </c>
      <c r="F284" t="inlineStr">
        <is>
          <t>VÄRMLANDS LÄN</t>
        </is>
      </c>
      <c r="G284" t="inlineStr">
        <is>
          <t>SÄFFLE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46257</v>
      </c>
      <c r="F285" t="inlineStr">
        <is>
          <t>VÄRMLANDS LÄN</t>
        </is>
      </c>
      <c r="G285" t="inlineStr">
        <is>
          <t>SÄFFLE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46257</v>
      </c>
      <c r="F286" t="inlineStr">
        <is>
          <t>VÄRMLANDS LÄN</t>
        </is>
      </c>
      <c r="G286" t="inlineStr">
        <is>
          <t>SÄFFLE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46257</v>
      </c>
      <c r="F287" t="inlineStr">
        <is>
          <t>VÄRMLANDS LÄN</t>
        </is>
      </c>
      <c r="G287" t="inlineStr">
        <is>
          <t>SÄFFLE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46257</v>
      </c>
      <c r="F288" t="inlineStr">
        <is>
          <t>VÄRMLANDS LÄN</t>
        </is>
      </c>
      <c r="G288" t="inlineStr">
        <is>
          <t>SÄFFLE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73355-2021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44550</v>
      </c>
      <c r="E289" s="1" t="n">
        <v>46257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46257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45527</v>
      </c>
      <c r="E291" s="1" t="n">
        <v>46257</v>
      </c>
      <c r="F291" t="inlineStr">
        <is>
          <t>VÄRMLANDS LÄN</t>
        </is>
      </c>
      <c r="G291" t="inlineStr">
        <is>
          <t>SÄFFLE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46257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46257</v>
      </c>
      <c r="F293" t="inlineStr">
        <is>
          <t>VÄRMLANDS LÄN</t>
        </is>
      </c>
      <c r="G293" t="inlineStr">
        <is>
          <t>SÄFFLE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46257</v>
      </c>
      <c r="F294" t="inlineStr">
        <is>
          <t>VÄRMLANDS LÄN</t>
        </is>
      </c>
      <c r="G294" t="inlineStr">
        <is>
          <t>SÄFFLE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44852</v>
      </c>
      <c r="E295" s="1" t="n">
        <v>46257</v>
      </c>
      <c r="F295" t="inlineStr">
        <is>
          <t>VÄRMLANDS LÄN</t>
        </is>
      </c>
      <c r="G295" t="inlineStr">
        <is>
          <t>SÄFFLE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46257</v>
      </c>
      <c r="F296" t="inlineStr">
        <is>
          <t>VÄRMLANDS LÄN</t>
        </is>
      </c>
      <c r="G296" t="inlineStr">
        <is>
          <t>SÄFFLE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46257</v>
      </c>
      <c r="F297" t="inlineStr">
        <is>
          <t>VÄRMLANDS LÄN</t>
        </is>
      </c>
      <c r="G297" t="inlineStr">
        <is>
          <t>SÄFFLE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46257</v>
      </c>
      <c r="F298" t="inlineStr">
        <is>
          <t>VÄRMLANDS LÄN</t>
        </is>
      </c>
      <c r="G298" t="inlineStr">
        <is>
          <t>SÄFFLE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45295</v>
      </c>
      <c r="E299" s="1" t="n">
        <v>46257</v>
      </c>
      <c r="F299" t="inlineStr">
        <is>
          <t>VÄRMLANDS LÄN</t>
        </is>
      </c>
      <c r="G299" t="inlineStr">
        <is>
          <t>SÄFFLE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46257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46257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45558</v>
      </c>
      <c r="E302" s="1" t="n">
        <v>46257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46257</v>
      </c>
      <c r="F303" t="inlineStr">
        <is>
          <t>VÄRMLANDS LÄN</t>
        </is>
      </c>
      <c r="G303" t="inlineStr">
        <is>
          <t>SÄFFLE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46257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23624-2024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45454</v>
      </c>
      <c r="E305" s="1" t="n">
        <v>46257</v>
      </c>
      <c r="F305" t="inlineStr">
        <is>
          <t>VÄRMLANDS LÄN</t>
        </is>
      </c>
      <c r="G305" t="inlineStr">
        <is>
          <t>SÄFFLE</t>
        </is>
      </c>
      <c r="H305" t="inlineStr">
        <is>
          <t>Kommuner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58070-2021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44487</v>
      </c>
      <c r="E306" s="1" t="n">
        <v>46257</v>
      </c>
      <c r="F306" t="inlineStr">
        <is>
          <t>VÄRMLANDS LÄN</t>
        </is>
      </c>
      <c r="G306" t="inlineStr">
        <is>
          <t>SÄFFLE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41804-2023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45176</v>
      </c>
      <c r="E307" s="1" t="n">
        <v>46257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46257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46257</v>
      </c>
      <c r="F309" t="inlineStr">
        <is>
          <t>VÄRMLANDS LÄN</t>
        </is>
      </c>
      <c r="G309" t="inlineStr">
        <is>
          <t>SÄFFLE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45367</v>
      </c>
      <c r="E310" s="1" t="n">
        <v>46257</v>
      </c>
      <c r="F310" t="inlineStr">
        <is>
          <t>VÄRMLANDS LÄN</t>
        </is>
      </c>
      <c r="G310" t="inlineStr">
        <is>
          <t>SÄFFLE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51269-2025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45949</v>
      </c>
      <c r="E311" s="1" t="n">
        <v>46257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46257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46257</v>
      </c>
      <c r="F313" t="inlineStr">
        <is>
          <t>VÄRMLANDS LÄN</t>
        </is>
      </c>
      <c r="G313" t="inlineStr">
        <is>
          <t>SÄFFLE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30686-2022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44763</v>
      </c>
      <c r="E314" s="1" t="n">
        <v>46257</v>
      </c>
      <c r="F314" t="inlineStr">
        <is>
          <t>VÄRMLANDS LÄN</t>
        </is>
      </c>
      <c r="G314" t="inlineStr">
        <is>
          <t>SÄFFLE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46257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46257</v>
      </c>
      <c r="F316" t="inlineStr">
        <is>
          <t>VÄRMLANDS LÄN</t>
        </is>
      </c>
      <c r="G316" t="inlineStr">
        <is>
          <t>SÄFFLE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44911</v>
      </c>
      <c r="E317" s="1" t="n">
        <v>46257</v>
      </c>
      <c r="F317" t="inlineStr">
        <is>
          <t>VÄRMLANDS LÄN</t>
        </is>
      </c>
      <c r="G317" t="inlineStr">
        <is>
          <t>SÄFFLE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46257</v>
      </c>
      <c r="F318" t="inlineStr">
        <is>
          <t>VÄRMLANDS LÄN</t>
        </is>
      </c>
      <c r="G318" t="inlineStr">
        <is>
          <t>SÄFFLE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46257</v>
      </c>
      <c r="F319" t="inlineStr">
        <is>
          <t>VÄRMLANDS LÄN</t>
        </is>
      </c>
      <c r="G319" t="inlineStr">
        <is>
          <t>SÄFFLE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45398</v>
      </c>
      <c r="E320" s="1" t="n">
        <v>46257</v>
      </c>
      <c r="F320" t="inlineStr">
        <is>
          <t>VÄRMLANDS LÄN</t>
        </is>
      </c>
      <c r="G320" t="inlineStr">
        <is>
          <t>SÄFFLE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45133</v>
      </c>
      <c r="E321" s="1" t="n">
        <v>46257</v>
      </c>
      <c r="F321" t="inlineStr">
        <is>
          <t>VÄRMLANDS LÄN</t>
        </is>
      </c>
      <c r="G321" t="inlineStr">
        <is>
          <t>SÄFFLE</t>
        </is>
      </c>
      <c r="I321" t="n">
        <v>29.5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45733</v>
      </c>
      <c r="E322" s="1" t="n">
        <v>46257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46257</v>
      </c>
      <c r="F323" t="inlineStr">
        <is>
          <t>VÄRMLANDS LÄN</t>
        </is>
      </c>
      <c r="G323" t="inlineStr">
        <is>
          <t>SÄFFLE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46257</v>
      </c>
      <c r="F324" t="inlineStr">
        <is>
          <t>VÄRMLANDS LÄN</t>
        </is>
      </c>
      <c r="G324" t="inlineStr">
        <is>
          <t>SÄFFLE</t>
        </is>
      </c>
      <c r="I324" t="n">
        <v>11.9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46257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44777</v>
      </c>
      <c r="E326" s="1" t="n">
        <v>46257</v>
      </c>
      <c r="F326" t="inlineStr">
        <is>
          <t>VÄRMLANDS LÄN</t>
        </is>
      </c>
      <c r="G326" t="inlineStr">
        <is>
          <t>SÄFFLE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46257</v>
      </c>
      <c r="F327" t="inlineStr">
        <is>
          <t>VÄRMLANDS LÄN</t>
        </is>
      </c>
      <c r="G327" t="inlineStr">
        <is>
          <t>SÄFFLE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46257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46257</v>
      </c>
      <c r="F329" t="inlineStr">
        <is>
          <t>VÄRMLANDS LÄN</t>
        </is>
      </c>
      <c r="G329" t="inlineStr">
        <is>
          <t>SÄFFLE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46257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45374</v>
      </c>
      <c r="E331" s="1" t="n">
        <v>46257</v>
      </c>
      <c r="F331" t="inlineStr">
        <is>
          <t>VÄRMLANDS LÄN</t>
        </is>
      </c>
      <c r="G331" t="inlineStr">
        <is>
          <t>SÄFFLE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45374</v>
      </c>
      <c r="E332" s="1" t="n">
        <v>46257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46257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45676</v>
      </c>
      <c r="E334" s="1" t="n">
        <v>46257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45394</v>
      </c>
      <c r="E335" s="1" t="n">
        <v>46257</v>
      </c>
      <c r="F335" t="inlineStr">
        <is>
          <t>VÄRMLANDS LÄN</t>
        </is>
      </c>
      <c r="G335" t="inlineStr">
        <is>
          <t>SÄFFLE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71292-2021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44538</v>
      </c>
      <c r="E336" s="1" t="n">
        <v>46257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53888-2025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45961</v>
      </c>
      <c r="E337" s="1" t="n">
        <v>46257</v>
      </c>
      <c r="F337" t="inlineStr">
        <is>
          <t>VÄRMLANDS LÄN</t>
        </is>
      </c>
      <c r="G337" t="inlineStr">
        <is>
          <t>SÄFFLE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9261-2024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45358</v>
      </c>
      <c r="E338" s="1" t="n">
        <v>46257</v>
      </c>
      <c r="F338" t="inlineStr">
        <is>
          <t>VÄRMLANDS LÄN</t>
        </is>
      </c>
      <c r="G338" t="inlineStr">
        <is>
          <t>SÄFFLE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46257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46257</v>
      </c>
      <c r="F340" t="inlineStr">
        <is>
          <t>VÄRMLANDS LÄN</t>
        </is>
      </c>
      <c r="G340" t="inlineStr">
        <is>
          <t>SÄFFLE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31247-2025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45832</v>
      </c>
      <c r="E341" s="1" t="n">
        <v>46257</v>
      </c>
      <c r="F341" t="inlineStr">
        <is>
          <t>VÄRMLANDS LÄN</t>
        </is>
      </c>
      <c r="G341" t="inlineStr">
        <is>
          <t>SÄFFLE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51266-2024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46257</v>
      </c>
      <c r="F342" t="inlineStr">
        <is>
          <t>VÄRMLANDS LÄN</t>
        </is>
      </c>
      <c r="G342" t="inlineStr">
        <is>
          <t>SÄFFLE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45808</v>
      </c>
      <c r="E343" s="1" t="n">
        <v>46257</v>
      </c>
      <c r="F343" t="inlineStr">
        <is>
          <t>VÄRMLANDS LÄN</t>
        </is>
      </c>
      <c r="G343" t="inlineStr">
        <is>
          <t>SÄFFLE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45506</v>
      </c>
      <c r="E344" s="1" t="n">
        <v>46257</v>
      </c>
      <c r="F344" t="inlineStr">
        <is>
          <t>VÄRMLANDS LÄN</t>
        </is>
      </c>
      <c r="G344" t="inlineStr">
        <is>
          <t>SÄFFLE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17916-2024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45419</v>
      </c>
      <c r="E345" s="1" t="n">
        <v>46257</v>
      </c>
      <c r="F345" t="inlineStr">
        <is>
          <t>VÄRMLANDS LÄN</t>
        </is>
      </c>
      <c r="G345" t="inlineStr">
        <is>
          <t>SÄFFLE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45740</v>
      </c>
      <c r="E346" s="1" t="n">
        <v>46257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46257</v>
      </c>
      <c r="F347" t="inlineStr">
        <is>
          <t>VÄRMLANDS LÄN</t>
        </is>
      </c>
      <c r="G347" t="inlineStr">
        <is>
          <t>SÄFFLE</t>
        </is>
      </c>
      <c r="I347" t="n">
        <v>49.7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51593-2023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46257</v>
      </c>
      <c r="F348" t="inlineStr">
        <is>
          <t>VÄRMLANDS LÄN</t>
        </is>
      </c>
      <c r="G348" t="inlineStr">
        <is>
          <t>SÄFFLE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46257</v>
      </c>
      <c r="F349" t="inlineStr">
        <is>
          <t>VÄRMLANDS LÄN</t>
        </is>
      </c>
      <c r="G349" t="inlineStr">
        <is>
          <t>SÄFFLE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45847</v>
      </c>
      <c r="E350" s="1" t="n">
        <v>46257</v>
      </c>
      <c r="F350" t="inlineStr">
        <is>
          <t>VÄRMLANDS LÄN</t>
        </is>
      </c>
      <c r="G350" t="inlineStr">
        <is>
          <t>SÄFFLE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54126-2022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44881</v>
      </c>
      <c r="E351" s="1" t="n">
        <v>46257</v>
      </c>
      <c r="F351" t="inlineStr">
        <is>
          <t>VÄRMLANDS LÄN</t>
        </is>
      </c>
      <c r="G351" t="inlineStr">
        <is>
          <t>SÄFFLE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46257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45847</v>
      </c>
      <c r="E353" s="1" t="n">
        <v>46257</v>
      </c>
      <c r="F353" t="inlineStr">
        <is>
          <t>VÄRMLANDS LÄN</t>
        </is>
      </c>
      <c r="G353" t="inlineStr">
        <is>
          <t>SÄFFLE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46257</v>
      </c>
      <c r="F354" t="inlineStr">
        <is>
          <t>VÄRMLANDS LÄN</t>
        </is>
      </c>
      <c r="G354" t="inlineStr">
        <is>
          <t>SÄFFLE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45847</v>
      </c>
      <c r="E355" s="1" t="n">
        <v>46257</v>
      </c>
      <c r="F355" t="inlineStr">
        <is>
          <t>VÄRMLANDS LÄN</t>
        </is>
      </c>
      <c r="G355" t="inlineStr">
        <is>
          <t>SÄFFLE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46257</v>
      </c>
      <c r="F356" t="inlineStr">
        <is>
          <t>VÄRMLANDS LÄN</t>
        </is>
      </c>
      <c r="G356" t="inlineStr">
        <is>
          <t>SÄFFLE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46257</v>
      </c>
      <c r="F357" t="inlineStr">
        <is>
          <t>VÄRMLANDS LÄN</t>
        </is>
      </c>
      <c r="G357" t="inlineStr">
        <is>
          <t>SÄFFLE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46257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45847</v>
      </c>
      <c r="E359" s="1" t="n">
        <v>46257</v>
      </c>
      <c r="F359" t="inlineStr">
        <is>
          <t>VÄRMLANDS LÄN</t>
        </is>
      </c>
      <c r="G359" t="inlineStr">
        <is>
          <t>SÄFFLE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46257</v>
      </c>
      <c r="F360" t="inlineStr">
        <is>
          <t>VÄRMLANDS LÄN</t>
        </is>
      </c>
      <c r="G360" t="inlineStr">
        <is>
          <t>SÄFFLE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44468</v>
      </c>
      <c r="E361" s="1" t="n">
        <v>46257</v>
      </c>
      <c r="F361" t="inlineStr">
        <is>
          <t>VÄRMLANDS LÄN</t>
        </is>
      </c>
      <c r="G361" t="inlineStr">
        <is>
          <t>SÄFFLE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45516</v>
      </c>
      <c r="E362" s="1" t="n">
        <v>46257</v>
      </c>
      <c r="F362" t="inlineStr">
        <is>
          <t>VÄRMLANDS LÄN</t>
        </is>
      </c>
      <c r="G362" t="inlineStr">
        <is>
          <t>SÄFFLE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46257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63787-2021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44509</v>
      </c>
      <c r="E364" s="1" t="n">
        <v>46257</v>
      </c>
      <c r="F364" t="inlineStr">
        <is>
          <t>VÄRMLANDS LÄN</t>
        </is>
      </c>
      <c r="G364" t="inlineStr">
        <is>
          <t>SÄFFLE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56684-2025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45975</v>
      </c>
      <c r="E365" s="1" t="n">
        <v>46257</v>
      </c>
      <c r="F365" t="inlineStr">
        <is>
          <t>VÄRMLANDS LÄN</t>
        </is>
      </c>
      <c r="G365" t="inlineStr">
        <is>
          <t>SÄFFLE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46257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46257</v>
      </c>
      <c r="F367" t="inlineStr">
        <is>
          <t>VÄRMLANDS LÄN</t>
        </is>
      </c>
      <c r="G367" t="inlineStr">
        <is>
          <t>SÄFFLE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46257</v>
      </c>
      <c r="F368" t="inlineStr">
        <is>
          <t>VÄRMLANDS LÄN</t>
        </is>
      </c>
      <c r="G368" t="inlineStr">
        <is>
          <t>SÄFFLE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46257</v>
      </c>
      <c r="F369" t="inlineStr">
        <is>
          <t>VÄRMLANDS LÄN</t>
        </is>
      </c>
      <c r="G369" t="inlineStr">
        <is>
          <t>SÄFFLE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45977</v>
      </c>
      <c r="E370" s="1" t="n">
        <v>46257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46257</v>
      </c>
      <c r="F371" t="inlineStr">
        <is>
          <t>VÄRMLANDS LÄN</t>
        </is>
      </c>
      <c r="G371" t="inlineStr">
        <is>
          <t>SÄFFLE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40487-2022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46257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46257</v>
      </c>
      <c r="F373" t="inlineStr">
        <is>
          <t>VÄRMLANDS LÄN</t>
        </is>
      </c>
      <c r="G373" t="inlineStr">
        <is>
          <t>SÄFFLE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40630-2022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44823</v>
      </c>
      <c r="E374" s="1" t="n">
        <v>46257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46257</v>
      </c>
      <c r="F375" t="inlineStr">
        <is>
          <t>VÄRMLANDS LÄN</t>
        </is>
      </c>
      <c r="G375" t="inlineStr">
        <is>
          <t>SÄFFLE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46257</v>
      </c>
      <c r="F376" t="inlineStr">
        <is>
          <t>VÄRMLANDS LÄN</t>
        </is>
      </c>
      <c r="G376" t="inlineStr">
        <is>
          <t>SÄFFLE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46257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45711</v>
      </c>
      <c r="E378" s="1" t="n">
        <v>46257</v>
      </c>
      <c r="F378" t="inlineStr">
        <is>
          <t>VÄRMLANDS LÄN</t>
        </is>
      </c>
      <c r="G378" t="inlineStr">
        <is>
          <t>SÄFFLE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45425</v>
      </c>
      <c r="E379" s="1" t="n">
        <v>46257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45983</v>
      </c>
      <c r="E380" s="1" t="n">
        <v>46257</v>
      </c>
      <c r="F380" t="inlineStr">
        <is>
          <t>VÄRMLANDS LÄN</t>
        </is>
      </c>
      <c r="G380" t="inlineStr">
        <is>
          <t>SÄFFLE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46257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46257</v>
      </c>
      <c r="F382" t="inlineStr">
        <is>
          <t>VÄRMLANDS LÄN</t>
        </is>
      </c>
      <c r="G382" t="inlineStr">
        <is>
          <t>SÄFFLE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46257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44924</v>
      </c>
      <c r="E384" s="1" t="n">
        <v>46257</v>
      </c>
      <c r="F384" t="inlineStr">
        <is>
          <t>VÄRMLANDS LÄN</t>
        </is>
      </c>
      <c r="G384" t="inlineStr">
        <is>
          <t>SÄFFLE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44490</v>
      </c>
      <c r="E385" s="1" t="n">
        <v>46257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46257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46257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46257</v>
      </c>
      <c r="F388" t="inlineStr">
        <is>
          <t>VÄRMLANDS LÄN</t>
        </is>
      </c>
      <c r="G388" t="inlineStr">
        <is>
          <t>SÄFFLE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46257</v>
      </c>
      <c r="F389" t="inlineStr">
        <is>
          <t>VÄRMLANDS LÄN</t>
        </is>
      </c>
      <c r="G389" t="inlineStr">
        <is>
          <t>SÄFFLE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46257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46257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46257</v>
      </c>
      <c r="F392" t="inlineStr">
        <is>
          <t>VÄRMLANDS LÄN</t>
        </is>
      </c>
      <c r="G392" t="inlineStr">
        <is>
          <t>SÄFFLE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46257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45006</v>
      </c>
      <c r="E394" s="1" t="n">
        <v>46257</v>
      </c>
      <c r="F394" t="inlineStr">
        <is>
          <t>VÄRMLANDS LÄN</t>
        </is>
      </c>
      <c r="G394" t="inlineStr">
        <is>
          <t>SÄFFLE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46257</v>
      </c>
      <c r="F395" t="inlineStr">
        <is>
          <t>VÄRMLANDS LÄN</t>
        </is>
      </c>
      <c r="G395" t="inlineStr">
        <is>
          <t>SÄFFLE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45477</v>
      </c>
      <c r="E396" s="1" t="n">
        <v>46257</v>
      </c>
      <c r="F396" t="inlineStr">
        <is>
          <t>VÄRMLANDS LÄN</t>
        </is>
      </c>
      <c r="G396" t="inlineStr">
        <is>
          <t>SÄFFLE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45639</v>
      </c>
      <c r="E397" s="1" t="n">
        <v>46257</v>
      </c>
      <c r="F397" t="inlineStr">
        <is>
          <t>VÄRMLANDS LÄN</t>
        </is>
      </c>
      <c r="G397" t="inlineStr">
        <is>
          <t>SÄFFLE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45639</v>
      </c>
      <c r="E398" s="1" t="n">
        <v>46257</v>
      </c>
      <c r="F398" t="inlineStr">
        <is>
          <t>VÄRMLANDS LÄN</t>
        </is>
      </c>
      <c r="G398" t="inlineStr">
        <is>
          <t>SÄFFLE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23188-2024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45450</v>
      </c>
      <c r="E399" s="1" t="n">
        <v>46257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38534-2022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44813</v>
      </c>
      <c r="E400" s="1" t="n">
        <v>46257</v>
      </c>
      <c r="F400" t="inlineStr">
        <is>
          <t>VÄRMLANDS LÄN</t>
        </is>
      </c>
      <c r="G400" t="inlineStr">
        <is>
          <t>SÄFFLE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45728</v>
      </c>
      <c r="E401" s="1" t="n">
        <v>46257</v>
      </c>
      <c r="F401" t="inlineStr">
        <is>
          <t>VÄRMLANDS LÄN</t>
        </is>
      </c>
      <c r="G401" t="inlineStr">
        <is>
          <t>SÄFFLE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46257</v>
      </c>
      <c r="F402" t="inlineStr">
        <is>
          <t>VÄRMLANDS LÄN</t>
        </is>
      </c>
      <c r="G402" t="inlineStr">
        <is>
          <t>SÄFFLE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46257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46257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46257</v>
      </c>
      <c r="F405" t="inlineStr">
        <is>
          <t>VÄRMLANDS LÄN</t>
        </is>
      </c>
      <c r="G405" t="inlineStr">
        <is>
          <t>SÄFFLE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46257</v>
      </c>
      <c r="F406" t="inlineStr">
        <is>
          <t>VÄRMLANDS LÄN</t>
        </is>
      </c>
      <c r="G406" t="inlineStr">
        <is>
          <t>SÄFFLE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44960</v>
      </c>
      <c r="E407" s="1" t="n">
        <v>46257</v>
      </c>
      <c r="F407" t="inlineStr">
        <is>
          <t>VÄRMLANDS LÄN</t>
        </is>
      </c>
      <c r="G407" t="inlineStr">
        <is>
          <t>SÄFFLE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46257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44635</v>
      </c>
      <c r="E409" s="1" t="n">
        <v>46257</v>
      </c>
      <c r="F409" t="inlineStr">
        <is>
          <t>VÄRMLANDS LÄN</t>
        </is>
      </c>
      <c r="G409" t="inlineStr">
        <is>
          <t>SÄFFLE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46257</v>
      </c>
      <c r="F410" t="inlineStr">
        <is>
          <t>VÄRMLANDS LÄN</t>
        </is>
      </c>
      <c r="G410" t="inlineStr">
        <is>
          <t>SÄFFLE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45457</v>
      </c>
      <c r="E411" s="1" t="n">
        <v>46257</v>
      </c>
      <c r="F411" t="inlineStr">
        <is>
          <t>VÄRMLANDS LÄN</t>
        </is>
      </c>
      <c r="G411" t="inlineStr">
        <is>
          <t>SÄFFLE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46257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46257</v>
      </c>
      <c r="F413" t="inlineStr">
        <is>
          <t>VÄRMLANDS LÄN</t>
        </is>
      </c>
      <c r="G413" t="inlineStr">
        <is>
          <t>SÄFFLE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46257</v>
      </c>
      <c r="F414" t="inlineStr">
        <is>
          <t>VÄRMLANDS LÄN</t>
        </is>
      </c>
      <c r="G414" t="inlineStr">
        <is>
          <t>SÄFFLE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20322-2025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45775</v>
      </c>
      <c r="E415" s="1" t="n">
        <v>46257</v>
      </c>
      <c r="F415" t="inlineStr">
        <is>
          <t>VÄRMLANDS LÄN</t>
        </is>
      </c>
      <c r="G415" t="inlineStr">
        <is>
          <t>SÄFFLE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45522</v>
      </c>
      <c r="E416" s="1" t="n">
        <v>46257</v>
      </c>
      <c r="F416" t="inlineStr">
        <is>
          <t>VÄRMLANDS LÄN</t>
        </is>
      </c>
      <c r="G416" t="inlineStr">
        <is>
          <t>SÄFFLE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58653-2023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46257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46257</v>
      </c>
      <c r="F418" t="inlineStr">
        <is>
          <t>VÄRMLANDS LÄN</t>
        </is>
      </c>
      <c r="G418" t="inlineStr">
        <is>
          <t>SÄFFLE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46257</v>
      </c>
      <c r="F419" t="inlineStr">
        <is>
          <t>VÄRMLANDS LÄN</t>
        </is>
      </c>
      <c r="G419" t="inlineStr">
        <is>
          <t>SÄFFLE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46257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46257</v>
      </c>
      <c r="F421" t="inlineStr">
        <is>
          <t>VÄRMLANDS LÄN</t>
        </is>
      </c>
      <c r="G421" t="inlineStr">
        <is>
          <t>SÄFFLE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46257</v>
      </c>
      <c r="F422" t="inlineStr">
        <is>
          <t>VÄRMLANDS LÄN</t>
        </is>
      </c>
      <c r="G422" t="inlineStr">
        <is>
          <t>SÄFFLE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46257</v>
      </c>
      <c r="F423" t="inlineStr">
        <is>
          <t>VÄRMLANDS LÄN</t>
        </is>
      </c>
      <c r="G423" t="inlineStr">
        <is>
          <t>SÄFFLE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46257</v>
      </c>
      <c r="F424" t="inlineStr">
        <is>
          <t>VÄRMLANDS LÄN</t>
        </is>
      </c>
      <c r="G424" t="inlineStr">
        <is>
          <t>SÄFFLE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46257</v>
      </c>
      <c r="F425" t="inlineStr">
        <is>
          <t>VÄRMLANDS LÄN</t>
        </is>
      </c>
      <c r="G425" t="inlineStr">
        <is>
          <t>SÄFFLE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15632-2024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45403</v>
      </c>
      <c r="E426" s="1" t="n">
        <v>46257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46257</v>
      </c>
      <c r="F427" t="inlineStr">
        <is>
          <t>VÄRMLANDS LÄN</t>
        </is>
      </c>
      <c r="G427" t="inlineStr">
        <is>
          <t>SÄFFLE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59322-2025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46257</v>
      </c>
      <c r="F428" t="inlineStr">
        <is>
          <t>VÄRMLANDS LÄN</t>
        </is>
      </c>
      <c r="G428" t="inlineStr">
        <is>
          <t>SÄFFLE</t>
        </is>
      </c>
      <c r="I428" t="n">
        <v>11.1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46257</v>
      </c>
      <c r="F429" t="inlineStr">
        <is>
          <t>VÄRMLANDS LÄN</t>
        </is>
      </c>
      <c r="G429" t="inlineStr">
        <is>
          <t>SÄFFLE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46257</v>
      </c>
      <c r="F430" t="inlineStr">
        <is>
          <t>VÄRMLANDS LÄN</t>
        </is>
      </c>
      <c r="G430" t="inlineStr">
        <is>
          <t>SÄFFLE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46257</v>
      </c>
      <c r="F431" t="inlineStr">
        <is>
          <t>VÄRMLANDS LÄN</t>
        </is>
      </c>
      <c r="G431" t="inlineStr">
        <is>
          <t>SÄFFLE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9152-2023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46257</v>
      </c>
      <c r="F432" t="inlineStr">
        <is>
          <t>VÄRMLANDS LÄN</t>
        </is>
      </c>
      <c r="G432" t="inlineStr">
        <is>
          <t>SÄFFLE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46257</v>
      </c>
      <c r="F433" t="inlineStr">
        <is>
          <t>VÄRMLANDS LÄN</t>
        </is>
      </c>
      <c r="G433" t="inlineStr">
        <is>
          <t>SÄFFLE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19952-2024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46257</v>
      </c>
      <c r="F434" t="inlineStr">
        <is>
          <t>VÄRMLANDS LÄN</t>
        </is>
      </c>
      <c r="G434" t="inlineStr">
        <is>
          <t>SÄFFLE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62119-2025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46257</v>
      </c>
      <c r="F435" t="inlineStr">
        <is>
          <t>VÄRMLANDS LÄN</t>
        </is>
      </c>
      <c r="G435" t="inlineStr">
        <is>
          <t>SÄFFLE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46257</v>
      </c>
      <c r="F436" t="inlineStr">
        <is>
          <t>VÄRMLANDS LÄN</t>
        </is>
      </c>
      <c r="G436" t="inlineStr">
        <is>
          <t>SÄFFLE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7876-2022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46257</v>
      </c>
      <c r="F437" t="inlineStr">
        <is>
          <t>VÄRMLANDS LÄN</t>
        </is>
      </c>
      <c r="G437" t="inlineStr">
        <is>
          <t>SÄFFLE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44609</v>
      </c>
      <c r="E438" s="1" t="n">
        <v>46257</v>
      </c>
      <c r="F438" t="inlineStr">
        <is>
          <t>VÄRMLANDS LÄN</t>
        </is>
      </c>
      <c r="G438" t="inlineStr">
        <is>
          <t>SÄFFLE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46257</v>
      </c>
      <c r="F439" t="inlineStr">
        <is>
          <t>VÄRMLANDS LÄN</t>
        </is>
      </c>
      <c r="G439" t="inlineStr">
        <is>
          <t>SÄFFLE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46257</v>
      </c>
      <c r="F440" t="inlineStr">
        <is>
          <t>VÄRMLANDS LÄN</t>
        </is>
      </c>
      <c r="G440" t="inlineStr">
        <is>
          <t>SÄFFLE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46257</v>
      </c>
      <c r="F441" t="inlineStr">
        <is>
          <t>VÄRMLANDS LÄN</t>
        </is>
      </c>
      <c r="G441" t="inlineStr">
        <is>
          <t>SÄFFLE</t>
        </is>
      </c>
      <c r="H441" t="inlineStr">
        <is>
          <t>Kommuner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3950-2022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44587</v>
      </c>
      <c r="E442" s="1" t="n">
        <v>46257</v>
      </c>
      <c r="F442" t="inlineStr">
        <is>
          <t>VÄRMLANDS LÄN</t>
        </is>
      </c>
      <c r="G442" t="inlineStr">
        <is>
          <t>SÄFFLE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46257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19385-2024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45428</v>
      </c>
      <c r="E444" s="1" t="n">
        <v>46257</v>
      </c>
      <c r="F444" t="inlineStr">
        <is>
          <t>VÄRMLANDS LÄN</t>
        </is>
      </c>
      <c r="G444" t="inlineStr">
        <is>
          <t>SÄFFLE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46257</v>
      </c>
      <c r="F445" t="inlineStr">
        <is>
          <t>VÄRMLANDS LÄN</t>
        </is>
      </c>
      <c r="G445" t="inlineStr">
        <is>
          <t>SÄFFLE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46257</v>
      </c>
      <c r="F446" t="inlineStr">
        <is>
          <t>VÄRMLANDS LÄN</t>
        </is>
      </c>
      <c r="G446" t="inlineStr">
        <is>
          <t>SÄFFLE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45548</v>
      </c>
      <c r="E447" s="1" t="n">
        <v>46257</v>
      </c>
      <c r="F447" t="inlineStr">
        <is>
          <t>VÄRMLANDS LÄN</t>
        </is>
      </c>
      <c r="G447" t="inlineStr">
        <is>
          <t>SÄFFLE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21075-2024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45439</v>
      </c>
      <c r="E448" s="1" t="n">
        <v>46257</v>
      </c>
      <c r="F448" t="inlineStr">
        <is>
          <t>VÄRMLANDS LÄN</t>
        </is>
      </c>
      <c r="G448" t="inlineStr">
        <is>
          <t>SÄFFLE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44734</v>
      </c>
      <c r="E449" s="1" t="n">
        <v>46257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45313</v>
      </c>
      <c r="E450" s="1" t="n">
        <v>46257</v>
      </c>
      <c r="F450" t="inlineStr">
        <is>
          <t>VÄRMLANDS LÄN</t>
        </is>
      </c>
      <c r="G450" t="inlineStr">
        <is>
          <t>SÄFFLE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44629</v>
      </c>
      <c r="E451" s="1" t="n">
        <v>46257</v>
      </c>
      <c r="F451" t="inlineStr">
        <is>
          <t>VÄRMLANDS LÄN</t>
        </is>
      </c>
      <c r="G451" t="inlineStr">
        <is>
          <t>SÄFFLE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46257</v>
      </c>
      <c r="F452" t="inlineStr">
        <is>
          <t>VÄRMLANDS LÄN</t>
        </is>
      </c>
      <c r="G452" t="inlineStr">
        <is>
          <t>SÄFFLE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46257</v>
      </c>
      <c r="F453" t="inlineStr">
        <is>
          <t>VÄRMLANDS LÄN</t>
        </is>
      </c>
      <c r="G453" t="inlineStr">
        <is>
          <t>SÄFFLE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46257</v>
      </c>
      <c r="F454" t="inlineStr">
        <is>
          <t>VÄRMLANDS LÄN</t>
        </is>
      </c>
      <c r="G454" t="inlineStr">
        <is>
          <t>SÄFFLE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63673-2021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46257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46257</v>
      </c>
      <c r="F456" t="inlineStr">
        <is>
          <t>VÄRMLANDS LÄN</t>
        </is>
      </c>
      <c r="G456" t="inlineStr">
        <is>
          <t>SÄFFLE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52174-2024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45608</v>
      </c>
      <c r="E457" s="1" t="n">
        <v>46257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63745-2021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46257</v>
      </c>
      <c r="F458" t="inlineStr">
        <is>
          <t>VÄRMLANDS LÄN</t>
        </is>
      </c>
      <c r="G458" t="inlineStr">
        <is>
          <t>SÄFFLE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45055</v>
      </c>
      <c r="E459" s="1" t="n">
        <v>46257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46030</v>
      </c>
      <c r="E460" s="1" t="n">
        <v>46257</v>
      </c>
      <c r="F460" t="inlineStr">
        <is>
          <t>VÄRMLANDS LÄN</t>
        </is>
      </c>
      <c r="G460" t="inlineStr">
        <is>
          <t>SÄFFLE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46257</v>
      </c>
      <c r="F461" t="inlineStr">
        <is>
          <t>VÄRMLANDS LÄN</t>
        </is>
      </c>
      <c r="G461" t="inlineStr">
        <is>
          <t>SÄFFLE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46257</v>
      </c>
      <c r="F462" t="inlineStr">
        <is>
          <t>VÄRMLANDS LÄN</t>
        </is>
      </c>
      <c r="G462" t="inlineStr">
        <is>
          <t>SÄFFLE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46257</v>
      </c>
      <c r="F463" t="inlineStr">
        <is>
          <t>VÄRMLANDS LÄN</t>
        </is>
      </c>
      <c r="G463" t="inlineStr">
        <is>
          <t>SÄFFLE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46257</v>
      </c>
      <c r="F464" t="inlineStr">
        <is>
          <t>VÄRMLANDS LÄN</t>
        </is>
      </c>
      <c r="G464" t="inlineStr">
        <is>
          <t>SÄFFLE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45871</v>
      </c>
      <c r="E465" s="1" t="n">
        <v>46257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46257</v>
      </c>
      <c r="F466" t="inlineStr">
        <is>
          <t>VÄRMLANDS LÄN</t>
        </is>
      </c>
      <c r="G466" t="inlineStr">
        <is>
          <t>SÄFFLE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46257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46257</v>
      </c>
      <c r="F468" t="inlineStr">
        <is>
          <t>VÄRMLANDS LÄN</t>
        </is>
      </c>
      <c r="G468" t="inlineStr">
        <is>
          <t>SÄFFLE</t>
        </is>
      </c>
      <c r="H468" t="inlineStr">
        <is>
          <t>Bergvik skog väst AB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46257</v>
      </c>
      <c r="F469" t="inlineStr">
        <is>
          <t>VÄRMLANDS LÄN</t>
        </is>
      </c>
      <c r="G469" t="inlineStr">
        <is>
          <t>SÄFFLE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45534</v>
      </c>
      <c r="E470" s="1" t="n">
        <v>46257</v>
      </c>
      <c r="F470" t="inlineStr">
        <is>
          <t>VÄRMLANDS LÄN</t>
        </is>
      </c>
      <c r="G470" t="inlineStr">
        <is>
          <t>SÄFFLE</t>
        </is>
      </c>
      <c r="H470" t="inlineStr">
        <is>
          <t>Kyrkan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45156</v>
      </c>
      <c r="E471" s="1" t="n">
        <v>46257</v>
      </c>
      <c r="F471" t="inlineStr">
        <is>
          <t>VÄRMLANDS LÄN</t>
        </is>
      </c>
      <c r="G471" t="inlineStr">
        <is>
          <t>SÄFFLE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46257</v>
      </c>
      <c r="F472" t="inlineStr">
        <is>
          <t>VÄRMLANDS LÄN</t>
        </is>
      </c>
      <c r="G472" t="inlineStr">
        <is>
          <t>SÄFFLE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46257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46257</v>
      </c>
      <c r="F474" t="inlineStr">
        <is>
          <t>VÄRMLANDS LÄN</t>
        </is>
      </c>
      <c r="G474" t="inlineStr">
        <is>
          <t>SÄFFLE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46257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46257</v>
      </c>
      <c r="F476" t="inlineStr">
        <is>
          <t>VÄRMLANDS LÄN</t>
        </is>
      </c>
      <c r="G476" t="inlineStr">
        <is>
          <t>SÄFFLE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44868</v>
      </c>
      <c r="E477" s="1" t="n">
        <v>46257</v>
      </c>
      <c r="F477" t="inlineStr">
        <is>
          <t>VÄRMLANDS LÄN</t>
        </is>
      </c>
      <c r="G477" t="inlineStr">
        <is>
          <t>SÄFFLE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46257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45191</v>
      </c>
      <c r="E479" s="1" t="n">
        <v>46257</v>
      </c>
      <c r="F479" t="inlineStr">
        <is>
          <t>VÄRMLANDS LÄN</t>
        </is>
      </c>
      <c r="G479" t="inlineStr">
        <is>
          <t>SÄFFLE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73662-2021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44552</v>
      </c>
      <c r="E480" s="1" t="n">
        <v>46257</v>
      </c>
      <c r="F480" t="inlineStr">
        <is>
          <t>VÄRMLANDS LÄN</t>
        </is>
      </c>
      <c r="G480" t="inlineStr">
        <is>
          <t>SÄFFLE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46257</v>
      </c>
      <c r="F481" t="inlineStr">
        <is>
          <t>VÄRMLANDS LÄN</t>
        </is>
      </c>
      <c r="G481" t="inlineStr">
        <is>
          <t>SÄFFLE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46257</v>
      </c>
      <c r="F482" t="inlineStr">
        <is>
          <t>VÄRMLANDS LÄN</t>
        </is>
      </c>
      <c r="G482" t="inlineStr">
        <is>
          <t>SÄFFLE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52099-2021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44463</v>
      </c>
      <c r="E483" s="1" t="n">
        <v>46257</v>
      </c>
      <c r="F483" t="inlineStr">
        <is>
          <t>VÄRMLANDS LÄN</t>
        </is>
      </c>
      <c r="G483" t="inlineStr">
        <is>
          <t>SÄFFLE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73157-2021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46257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46045</v>
      </c>
      <c r="E485" s="1" t="n">
        <v>46257</v>
      </c>
      <c r="F485" t="inlineStr">
        <is>
          <t>VÄRMLANDS LÄN</t>
        </is>
      </c>
      <c r="G485" t="inlineStr">
        <is>
          <t>SÄFFLE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46257</v>
      </c>
      <c r="F486" t="inlineStr">
        <is>
          <t>VÄRMLANDS LÄN</t>
        </is>
      </c>
      <c r="G486" t="inlineStr">
        <is>
          <t>SÄFFLE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46257</v>
      </c>
      <c r="F487" t="inlineStr">
        <is>
          <t>VÄRMLANDS LÄN</t>
        </is>
      </c>
      <c r="G487" t="inlineStr">
        <is>
          <t>SÄFFLE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46045</v>
      </c>
      <c r="E488" s="1" t="n">
        <v>46257</v>
      </c>
      <c r="F488" t="inlineStr">
        <is>
          <t>VÄRMLANDS LÄN</t>
        </is>
      </c>
      <c r="G488" t="inlineStr">
        <is>
          <t>SÄFFLE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45237</v>
      </c>
      <c r="E489" s="1" t="n">
        <v>46257</v>
      </c>
      <c r="F489" t="inlineStr">
        <is>
          <t>VÄRMLANDS LÄN</t>
        </is>
      </c>
      <c r="G489" t="inlineStr">
        <is>
          <t>SÄFFLE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7602-2024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45348</v>
      </c>
      <c r="E490" s="1" t="n">
        <v>46257</v>
      </c>
      <c r="F490" t="inlineStr">
        <is>
          <t>VÄRMLANDS LÄN</t>
        </is>
      </c>
      <c r="G490" t="inlineStr">
        <is>
          <t>SÄFFLE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46257</v>
      </c>
      <c r="F491" t="inlineStr">
        <is>
          <t>VÄRMLANDS LÄN</t>
        </is>
      </c>
      <c r="G491" t="inlineStr">
        <is>
          <t>SÄFFLE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46257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46257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46046</v>
      </c>
      <c r="E494" s="1" t="n">
        <v>46257</v>
      </c>
      <c r="F494" t="inlineStr">
        <is>
          <t>VÄRMLANDS LÄN</t>
        </is>
      </c>
      <c r="G494" t="inlineStr">
        <is>
          <t>SÄFFLE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60073-2022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46257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46257</v>
      </c>
      <c r="F496" t="inlineStr">
        <is>
          <t>VÄRMLANDS LÄN</t>
        </is>
      </c>
      <c r="G496" t="inlineStr">
        <is>
          <t>SÄFFLE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46257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45771</v>
      </c>
      <c r="E498" s="1" t="n">
        <v>46257</v>
      </c>
      <c r="F498" t="inlineStr">
        <is>
          <t>VÄRMLANDS LÄN</t>
        </is>
      </c>
      <c r="G498" t="inlineStr">
        <is>
          <t>SÄFFLE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45564</v>
      </c>
      <c r="E499" s="1" t="n">
        <v>46257</v>
      </c>
      <c r="F499" t="inlineStr">
        <is>
          <t>VÄRMLANDS LÄN</t>
        </is>
      </c>
      <c r="G499" t="inlineStr">
        <is>
          <t>SÄFFLE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45609</v>
      </c>
      <c r="E500" s="1" t="n">
        <v>46257</v>
      </c>
      <c r="F500" t="inlineStr">
        <is>
          <t>VÄRMLANDS LÄN</t>
        </is>
      </c>
      <c r="G500" t="inlineStr">
        <is>
          <t>SÄFFLE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45310</v>
      </c>
      <c r="E501" s="1" t="n">
        <v>46257</v>
      </c>
      <c r="F501" t="inlineStr">
        <is>
          <t>VÄRMLANDS LÄN</t>
        </is>
      </c>
      <c r="G501" t="inlineStr">
        <is>
          <t>SÄFFLE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46257</v>
      </c>
      <c r="F502" t="inlineStr">
        <is>
          <t>VÄRMLANDS LÄN</t>
        </is>
      </c>
      <c r="G502" t="inlineStr">
        <is>
          <t>SÄFFLE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45746</v>
      </c>
      <c r="E503" s="1" t="n">
        <v>46257</v>
      </c>
      <c r="F503" t="inlineStr">
        <is>
          <t>VÄRMLANDS LÄN</t>
        </is>
      </c>
      <c r="G503" t="inlineStr">
        <is>
          <t>SÄFFLE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46257</v>
      </c>
      <c r="F504" t="inlineStr">
        <is>
          <t>VÄRMLANDS LÄN</t>
        </is>
      </c>
      <c r="G504" t="inlineStr">
        <is>
          <t>SÄFFLE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46257</v>
      </c>
      <c r="F505" t="inlineStr">
        <is>
          <t>VÄRMLANDS LÄN</t>
        </is>
      </c>
      <c r="G505" t="inlineStr">
        <is>
          <t>SÄFFLE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45497</v>
      </c>
      <c r="E506" s="1" t="n">
        <v>46257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40799-2022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44824</v>
      </c>
      <c r="E507" s="1" t="n">
        <v>46257</v>
      </c>
      <c r="F507" t="inlineStr">
        <is>
          <t>VÄRMLANDS LÄN</t>
        </is>
      </c>
      <c r="G507" t="inlineStr">
        <is>
          <t>SÄFFLE</t>
        </is>
      </c>
      <c r="I507" t="n">
        <v>11.4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46257</v>
      </c>
      <c r="F508" t="inlineStr">
        <is>
          <t>VÄRMLANDS LÄN</t>
        </is>
      </c>
      <c r="G508" t="inlineStr">
        <is>
          <t>SÄFFLE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46257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46257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41368-2024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46257</v>
      </c>
      <c r="F511" t="inlineStr">
        <is>
          <t>VÄRMLANDS LÄN</t>
        </is>
      </c>
      <c r="G511" t="inlineStr">
        <is>
          <t>SÄFFLE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46257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46257</v>
      </c>
      <c r="F513" t="inlineStr">
        <is>
          <t>VÄRMLANDS LÄN</t>
        </is>
      </c>
      <c r="G513" t="inlineStr">
        <is>
          <t>SÄFFLE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45769</v>
      </c>
      <c r="E514" s="1" t="n">
        <v>46257</v>
      </c>
      <c r="F514" t="inlineStr">
        <is>
          <t>VÄRMLANDS LÄN</t>
        </is>
      </c>
      <c r="G514" t="inlineStr">
        <is>
          <t>SÄFFLE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46257</v>
      </c>
      <c r="F515" t="inlineStr">
        <is>
          <t>VÄRMLANDS LÄN</t>
        </is>
      </c>
      <c r="G515" t="inlineStr">
        <is>
          <t>SÄFFLE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46257</v>
      </c>
      <c r="F516" t="inlineStr">
        <is>
          <t>VÄRMLANDS LÄN</t>
        </is>
      </c>
      <c r="G516" t="inlineStr">
        <is>
          <t>SÄFFLE</t>
        </is>
      </c>
      <c r="H516" t="inlineStr">
        <is>
          <t>Kommuner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46257</v>
      </c>
      <c r="F517" t="inlineStr">
        <is>
          <t>VÄRMLANDS LÄN</t>
        </is>
      </c>
      <c r="G517" t="inlineStr">
        <is>
          <t>SÄFFLE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38001-2025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45881</v>
      </c>
      <c r="E518" s="1" t="n">
        <v>46257</v>
      </c>
      <c r="F518" t="inlineStr">
        <is>
          <t>VÄRMLANDS LÄN</t>
        </is>
      </c>
      <c r="G518" t="inlineStr">
        <is>
          <t>SÄFFLE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61677-2021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46257</v>
      </c>
      <c r="F519" t="inlineStr">
        <is>
          <t>VÄRMLANDS LÄN</t>
        </is>
      </c>
      <c r="G519" t="inlineStr">
        <is>
          <t>SÄFFLE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45012</v>
      </c>
      <c r="E520" s="1" t="n">
        <v>46257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45817</v>
      </c>
      <c r="E521" s="1" t="n">
        <v>46257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46257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45877</v>
      </c>
      <c r="E523" s="1" t="n">
        <v>46257</v>
      </c>
      <c r="F523" t="inlineStr">
        <is>
          <t>VÄRMLANDS LÄN</t>
        </is>
      </c>
      <c r="G523" t="inlineStr">
        <is>
          <t>SÄFFLE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33245-2023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45127</v>
      </c>
      <c r="E524" s="1" t="n">
        <v>46257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45883</v>
      </c>
      <c r="E525" s="1" t="n">
        <v>46257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46257</v>
      </c>
      <c r="F526" t="inlineStr">
        <is>
          <t>VÄRMLANDS LÄN</t>
        </is>
      </c>
      <c r="G526" t="inlineStr">
        <is>
          <t>SÄFFLE</t>
        </is>
      </c>
      <c r="I526" t="n">
        <v>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10223-2025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45720</v>
      </c>
      <c r="E527" s="1" t="n">
        <v>46257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46859-2024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45583</v>
      </c>
      <c r="E528" s="1" t="n">
        <v>46257</v>
      </c>
      <c r="F528" t="inlineStr">
        <is>
          <t>VÄRMLANDS LÄN</t>
        </is>
      </c>
      <c r="G528" t="inlineStr">
        <is>
          <t>SÄFFLE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45355</v>
      </c>
      <c r="E529" s="1" t="n">
        <v>46257</v>
      </c>
      <c r="F529" t="inlineStr">
        <is>
          <t>VÄRMLANDS LÄN</t>
        </is>
      </c>
      <c r="G529" t="inlineStr">
        <is>
          <t>SÄFFLE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46257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46257</v>
      </c>
      <c r="F531" t="inlineStr">
        <is>
          <t>VÄRMLANDS LÄN</t>
        </is>
      </c>
      <c r="G531" t="inlineStr">
        <is>
          <t>SÄFFLE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44606</v>
      </c>
      <c r="E532" s="1" t="n">
        <v>46257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46257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40807-2023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45171</v>
      </c>
      <c r="E534" s="1" t="n">
        <v>46257</v>
      </c>
      <c r="F534" t="inlineStr">
        <is>
          <t>VÄRMLANDS LÄN</t>
        </is>
      </c>
      <c r="G534" t="inlineStr">
        <is>
          <t>SÄFFLE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25326-2026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46176</v>
      </c>
      <c r="E535" s="1" t="n">
        <v>46257</v>
      </c>
      <c r="F535" t="inlineStr">
        <is>
          <t>VÄRMLANDS LÄN</t>
        </is>
      </c>
      <c r="G535" t="inlineStr">
        <is>
          <t>SÄFFLE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46257</v>
      </c>
      <c r="F536" t="inlineStr">
        <is>
          <t>VÄRMLANDS LÄN</t>
        </is>
      </c>
      <c r="G536" t="inlineStr">
        <is>
          <t>SÄFFLE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46257</v>
      </c>
      <c r="F537" t="inlineStr">
        <is>
          <t>VÄRMLANDS LÄN</t>
        </is>
      </c>
      <c r="G537" t="inlineStr">
        <is>
          <t>SÄFFLE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58067-2024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45631</v>
      </c>
      <c r="E538" s="1" t="n">
        <v>46257</v>
      </c>
      <c r="F538" t="inlineStr">
        <is>
          <t>VÄRMLANDS LÄN</t>
        </is>
      </c>
      <c r="G538" t="inlineStr">
        <is>
          <t>SÄFFLE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47037-2024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45586</v>
      </c>
      <c r="E539" s="1" t="n">
        <v>46257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45068</v>
      </c>
      <c r="E540" s="1" t="n">
        <v>46257</v>
      </c>
      <c r="F540" t="inlineStr">
        <is>
          <t>VÄRMLANDS LÄN</t>
        </is>
      </c>
      <c r="G540" t="inlineStr">
        <is>
          <t>SÄFFLE</t>
        </is>
      </c>
      <c r="I540" t="n">
        <v>11.8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45534</v>
      </c>
      <c r="E541" s="1" t="n">
        <v>46257</v>
      </c>
      <c r="F541" t="inlineStr">
        <is>
          <t>VÄRMLANDS LÄN</t>
        </is>
      </c>
      <c r="G541" t="inlineStr">
        <is>
          <t>SÄFFLE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46257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46257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46073</v>
      </c>
      <c r="E544" s="1" t="n">
        <v>46257</v>
      </c>
      <c r="F544" t="inlineStr">
        <is>
          <t>VÄRMLANDS LÄN</t>
        </is>
      </c>
      <c r="G544" t="inlineStr">
        <is>
          <t>SÄFFLE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22254-2023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45070</v>
      </c>
      <c r="E545" s="1" t="n">
        <v>46257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44938</v>
      </c>
      <c r="E546" s="1" t="n">
        <v>46257</v>
      </c>
      <c r="F546" t="inlineStr">
        <is>
          <t>VÄRMLANDS LÄN</t>
        </is>
      </c>
      <c r="G546" t="inlineStr">
        <is>
          <t>SÄFFLE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27985-2022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44745</v>
      </c>
      <c r="E547" s="1" t="n">
        <v>46257</v>
      </c>
      <c r="F547" t="inlineStr">
        <is>
          <t>VÄRMLANDS LÄN</t>
        </is>
      </c>
      <c r="G547" t="inlineStr">
        <is>
          <t>SÄFFLE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46257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10649-2024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45368</v>
      </c>
      <c r="E549" s="1" t="n">
        <v>46257</v>
      </c>
      <c r="F549" t="inlineStr">
        <is>
          <t>VÄRMLANDS LÄN</t>
        </is>
      </c>
      <c r="G549" t="inlineStr">
        <is>
          <t>SÄFFLE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45454</v>
      </c>
      <c r="E550" s="1" t="n">
        <v>46257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46079</v>
      </c>
      <c r="E551" s="1" t="n">
        <v>46257</v>
      </c>
      <c r="F551" t="inlineStr">
        <is>
          <t>VÄRMLANDS LÄN</t>
        </is>
      </c>
      <c r="G551" t="inlineStr">
        <is>
          <t>SÄFFLE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46079</v>
      </c>
      <c r="E552" s="1" t="n">
        <v>46257</v>
      </c>
      <c r="F552" t="inlineStr">
        <is>
          <t>VÄRMLANDS LÄN</t>
        </is>
      </c>
      <c r="G552" t="inlineStr">
        <is>
          <t>SÄFFLE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46257</v>
      </c>
      <c r="F553" t="inlineStr">
        <is>
          <t>VÄRMLANDS LÄN</t>
        </is>
      </c>
      <c r="G553" t="inlineStr">
        <is>
          <t>SÄFFLE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46257</v>
      </c>
      <c r="F554" t="inlineStr">
        <is>
          <t>VÄRMLANDS LÄN</t>
        </is>
      </c>
      <c r="G554" t="inlineStr">
        <is>
          <t>SÄFFLE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46257</v>
      </c>
      <c r="F555" t="inlineStr">
        <is>
          <t>VÄRMLANDS LÄN</t>
        </is>
      </c>
      <c r="G555" t="inlineStr">
        <is>
          <t>SÄFFLE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45524</v>
      </c>
      <c r="E556" s="1" t="n">
        <v>46257</v>
      </c>
      <c r="F556" t="inlineStr">
        <is>
          <t>VÄRMLANDS LÄN</t>
        </is>
      </c>
      <c r="G556" t="inlineStr">
        <is>
          <t>SÄFFLE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49979-2024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45597</v>
      </c>
      <c r="E557" s="1" t="n">
        <v>46257</v>
      </c>
      <c r="F557" t="inlineStr">
        <is>
          <t>VÄRMLANDS LÄN</t>
        </is>
      </c>
      <c r="G557" t="inlineStr">
        <is>
          <t>SÄFFLE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46257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46257</v>
      </c>
      <c r="F559" t="inlineStr">
        <is>
          <t>VÄRMLANDS LÄN</t>
        </is>
      </c>
      <c r="G559" t="inlineStr">
        <is>
          <t>SÄFFLE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46257</v>
      </c>
      <c r="F560" t="inlineStr">
        <is>
          <t>VÄRMLANDS LÄN</t>
        </is>
      </c>
      <c r="G560" t="inlineStr">
        <is>
          <t>SÄFFLE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46257</v>
      </c>
      <c r="F561" t="inlineStr">
        <is>
          <t>VÄRMLANDS LÄN</t>
        </is>
      </c>
      <c r="G561" t="inlineStr">
        <is>
          <t>SÄFFLE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46257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44861</v>
      </c>
      <c r="E563" s="1" t="n">
        <v>46257</v>
      </c>
      <c r="F563" t="inlineStr">
        <is>
          <t>VÄRMLANDS LÄN</t>
        </is>
      </c>
      <c r="G563" t="inlineStr">
        <is>
          <t>SÄFFLE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46257</v>
      </c>
      <c r="F564" t="inlineStr">
        <is>
          <t>VÄRMLANDS LÄN</t>
        </is>
      </c>
      <c r="G564" t="inlineStr">
        <is>
          <t>SÄFFLE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46257</v>
      </c>
      <c r="F565" t="inlineStr">
        <is>
          <t>VÄRMLANDS LÄN</t>
        </is>
      </c>
      <c r="G565" t="inlineStr">
        <is>
          <t>SÄFFLE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46083</v>
      </c>
      <c r="E566" s="1" t="n">
        <v>46257</v>
      </c>
      <c r="F566" t="inlineStr">
        <is>
          <t>VÄRMLANDS LÄN</t>
        </is>
      </c>
      <c r="G566" t="inlineStr">
        <is>
          <t>SÄFFLE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12187-2026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46086</v>
      </c>
      <c r="E567" s="1" t="n">
        <v>46257</v>
      </c>
      <c r="F567" t="inlineStr">
        <is>
          <t>VÄRMLANDS LÄN</t>
        </is>
      </c>
      <c r="G567" t="inlineStr">
        <is>
          <t>SÄFFLE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44763</v>
      </c>
      <c r="E568" s="1" t="n">
        <v>46257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46257</v>
      </c>
      <c r="F569" t="inlineStr">
        <is>
          <t>VÄRMLANDS LÄN</t>
        </is>
      </c>
      <c r="G569" t="inlineStr">
        <is>
          <t>SÄFFLE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46257</v>
      </c>
      <c r="F570" t="inlineStr">
        <is>
          <t>VÄRMLANDS LÄN</t>
        </is>
      </c>
      <c r="G570" t="inlineStr">
        <is>
          <t>SÄFFLE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46257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46257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44973-2024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45575</v>
      </c>
      <c r="E573" s="1" t="n">
        <v>46257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46257</v>
      </c>
      <c r="F574" t="inlineStr">
        <is>
          <t>VÄRMLANDS LÄN</t>
        </is>
      </c>
      <c r="G574" t="inlineStr">
        <is>
          <t>SÄFFLE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49520-2023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46257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49528-2023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46257</v>
      </c>
      <c r="F576" t="inlineStr">
        <is>
          <t>VÄRMLANDS LÄN</t>
        </is>
      </c>
      <c r="G576" t="inlineStr">
        <is>
          <t>SÄFFLE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46257</v>
      </c>
      <c r="F577" t="inlineStr">
        <is>
          <t>VÄRMLANDS LÄN</t>
        </is>
      </c>
      <c r="G577" t="inlineStr">
        <is>
          <t>SÄFFLE</t>
        </is>
      </c>
      <c r="I577" t="n">
        <v>12.7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46257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46257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45989</v>
      </c>
      <c r="E580" s="1" t="n">
        <v>46257</v>
      </c>
      <c r="F580" t="inlineStr">
        <is>
          <t>VÄRMLANDS LÄN</t>
        </is>
      </c>
      <c r="G580" t="inlineStr">
        <is>
          <t>SÄFFLE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58105-2021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44487</v>
      </c>
      <c r="E581" s="1" t="n">
        <v>46257</v>
      </c>
      <c r="F581" t="inlineStr">
        <is>
          <t>VÄRMLANDS LÄN</t>
        </is>
      </c>
      <c r="G581" t="inlineStr">
        <is>
          <t>SÄFFLE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45516</v>
      </c>
      <c r="E582" s="1" t="n">
        <v>46257</v>
      </c>
      <c r="F582" t="inlineStr">
        <is>
          <t>VÄRMLANDS LÄN</t>
        </is>
      </c>
      <c r="G582" t="inlineStr">
        <is>
          <t>SÄFFLE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32751-2024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45516</v>
      </c>
      <c r="E583" s="1" t="n">
        <v>46257</v>
      </c>
      <c r="F583" t="inlineStr">
        <is>
          <t>VÄRMLANDS LÄN</t>
        </is>
      </c>
      <c r="G583" t="inlineStr">
        <is>
          <t>SÄFFLE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46257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46257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46257</v>
      </c>
      <c r="F586" t="inlineStr">
        <is>
          <t>VÄRMLANDS LÄN</t>
        </is>
      </c>
      <c r="G586" t="inlineStr">
        <is>
          <t>SÄFFLE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46257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45223</v>
      </c>
      <c r="E588" s="1" t="n">
        <v>46257</v>
      </c>
      <c r="F588" t="inlineStr">
        <is>
          <t>VÄRMLANDS LÄN</t>
        </is>
      </c>
      <c r="G588" t="inlineStr">
        <is>
          <t>SÄFFLE</t>
        </is>
      </c>
      <c r="I588" t="n">
        <v>19.1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13051-2026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46257</v>
      </c>
      <c r="F589" t="inlineStr">
        <is>
          <t>VÄRMLANDS LÄN</t>
        </is>
      </c>
      <c r="G589" t="inlineStr">
        <is>
          <t>SÄFFLE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46232</v>
      </c>
      <c r="E590" s="1" t="n">
        <v>46257</v>
      </c>
      <c r="F590" t="inlineStr">
        <is>
          <t>VÄRMLANDS LÄN</t>
        </is>
      </c>
      <c r="G590" t="inlineStr">
        <is>
          <t>SÄFFLE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46257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14010-2024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45392</v>
      </c>
      <c r="E592" s="1" t="n">
        <v>46257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46257</v>
      </c>
      <c r="F593" t="inlineStr">
        <is>
          <t>VÄRMLANDS LÄN</t>
        </is>
      </c>
      <c r="G593" t="inlineStr">
        <is>
          <t>SÄFFLE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46232</v>
      </c>
      <c r="E594" s="1" t="n">
        <v>46257</v>
      </c>
      <c r="F594" t="inlineStr">
        <is>
          <t>VÄRMLANDS LÄN</t>
        </is>
      </c>
      <c r="G594" t="inlineStr">
        <is>
          <t>SÄFFLE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46233</v>
      </c>
      <c r="E595" s="1" t="n">
        <v>46257</v>
      </c>
      <c r="F595" t="inlineStr">
        <is>
          <t>VÄRMLANDS LÄN</t>
        </is>
      </c>
      <c r="G595" t="inlineStr">
        <is>
          <t>SÄFFLE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46257</v>
      </c>
      <c r="F596" t="inlineStr">
        <is>
          <t>VÄRMLANDS LÄN</t>
        </is>
      </c>
      <c r="G596" t="inlineStr">
        <is>
          <t>SÄFFLE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46257</v>
      </c>
      <c r="F597" t="inlineStr">
        <is>
          <t>VÄRMLANDS LÄN</t>
        </is>
      </c>
      <c r="G597" t="inlineStr">
        <is>
          <t>SÄFFLE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46257</v>
      </c>
      <c r="F598" t="inlineStr">
        <is>
          <t>VÄRMLANDS LÄN</t>
        </is>
      </c>
      <c r="G598" t="inlineStr">
        <is>
          <t>SÄFFLE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46257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14994-2026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46104</v>
      </c>
      <c r="E600" s="1" t="n">
        <v>46257</v>
      </c>
      <c r="F600" t="inlineStr">
        <is>
          <t>VÄRMLANDS LÄN</t>
        </is>
      </c>
      <c r="G600" t="inlineStr">
        <is>
          <t>SÄFFLE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46106</v>
      </c>
      <c r="E601" s="1" t="n">
        <v>46257</v>
      </c>
      <c r="F601" t="inlineStr">
        <is>
          <t>VÄRMLANDS LÄN</t>
        </is>
      </c>
      <c r="G601" t="inlineStr">
        <is>
          <t>SÄFFLE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32197-2026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46257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46257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15234-2026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46257</v>
      </c>
      <c r="F604" t="inlineStr">
        <is>
          <t>VÄRMLANDS LÄN</t>
        </is>
      </c>
      <c r="G604" t="inlineStr">
        <is>
          <t>SÄFFLE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46257</v>
      </c>
      <c r="F605" t="inlineStr">
        <is>
          <t>VÄRMLANDS LÄN</t>
        </is>
      </c>
      <c r="G605" t="inlineStr">
        <is>
          <t>SÄFFLE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46257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46257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53112-2022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46257</v>
      </c>
      <c r="F608" t="inlineStr">
        <is>
          <t>VÄRMLANDS LÄN</t>
        </is>
      </c>
      <c r="G608" t="inlineStr">
        <is>
          <t>SÄFFLE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46257</v>
      </c>
      <c r="F609" t="inlineStr">
        <is>
          <t>VÄRMLANDS LÄN</t>
        </is>
      </c>
      <c r="G609" t="inlineStr">
        <is>
          <t>SÄFFLE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45457</v>
      </c>
      <c r="E610" s="1" t="n">
        <v>46257</v>
      </c>
      <c r="F610" t="inlineStr">
        <is>
          <t>VÄRMLANDS LÄN</t>
        </is>
      </c>
      <c r="G610" t="inlineStr">
        <is>
          <t>SÄFFLE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46257</v>
      </c>
      <c r="F611" t="inlineStr">
        <is>
          <t>VÄRMLANDS LÄN</t>
        </is>
      </c>
      <c r="G611" t="inlineStr">
        <is>
          <t>SÄFFLE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46257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46257</v>
      </c>
      <c r="F613" t="inlineStr">
        <is>
          <t>VÄRMLANDS LÄN</t>
        </is>
      </c>
      <c r="G613" t="inlineStr">
        <is>
          <t>SÄFFLE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46257</v>
      </c>
      <c r="F614" t="inlineStr">
        <is>
          <t>VÄRMLANDS LÄN</t>
        </is>
      </c>
      <c r="G614" t="inlineStr">
        <is>
          <t>SÄFFLE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38764-2024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46257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17332-2026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46257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63858-2021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44509</v>
      </c>
      <c r="E617" s="1" t="n">
        <v>46257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45707</v>
      </c>
      <c r="E618" s="1" t="n">
        <v>46257</v>
      </c>
      <c r="F618" t="inlineStr">
        <is>
          <t>VÄRMLANDS LÄN</t>
        </is>
      </c>
      <c r="G618" t="inlineStr">
        <is>
          <t>SÄFFLE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17258-2026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46119</v>
      </c>
      <c r="E619" s="1" t="n">
        <v>46257</v>
      </c>
      <c r="F619" t="inlineStr">
        <is>
          <t>VÄRMLANDS LÄN</t>
        </is>
      </c>
      <c r="G619" t="inlineStr">
        <is>
          <t>SÄFFLE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17431-2026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46120</v>
      </c>
      <c r="E620" s="1" t="n">
        <v>46257</v>
      </c>
      <c r="F620" t="inlineStr">
        <is>
          <t>VÄRMLANDS LÄN</t>
        </is>
      </c>
      <c r="G620" t="inlineStr">
        <is>
          <t>SÄFFLE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46257</v>
      </c>
      <c r="F621" t="inlineStr">
        <is>
          <t>VÄRMLANDS LÄN</t>
        </is>
      </c>
      <c r="G621" t="inlineStr">
        <is>
          <t>SÄFFLE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17880-2026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46122</v>
      </c>
      <c r="E622" s="1" t="n">
        <v>46257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44880</v>
      </c>
      <c r="E623" s="1" t="n">
        <v>46257</v>
      </c>
      <c r="F623" t="inlineStr">
        <is>
          <t>VÄRMLANDS LÄN</t>
        </is>
      </c>
      <c r="G623" t="inlineStr">
        <is>
          <t>SÄFFLE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58639-2024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45635</v>
      </c>
      <c r="E624" s="1" t="n">
        <v>46257</v>
      </c>
      <c r="F624" t="inlineStr">
        <is>
          <t>VÄRMLANDS LÄN</t>
        </is>
      </c>
      <c r="G624" t="inlineStr">
        <is>
          <t>SÄFFLE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46257</v>
      </c>
      <c r="F625" t="inlineStr">
        <is>
          <t>VÄRMLANDS LÄN</t>
        </is>
      </c>
      <c r="G625" t="inlineStr">
        <is>
          <t>SÄFFLE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45233</v>
      </c>
      <c r="E626" s="1" t="n">
        <v>46257</v>
      </c>
      <c r="F626" t="inlineStr">
        <is>
          <t>VÄRMLANDS LÄN</t>
        </is>
      </c>
      <c r="G626" t="inlineStr">
        <is>
          <t>SÄFFLE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55090-2022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46257</v>
      </c>
      <c r="F627" t="inlineStr">
        <is>
          <t>VÄRMLANDS LÄN</t>
        </is>
      </c>
      <c r="G627" t="inlineStr">
        <is>
          <t>SÄFFLE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55094-2022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44886</v>
      </c>
      <c r="E628" s="1" t="n">
        <v>46257</v>
      </c>
      <c r="F628" t="inlineStr">
        <is>
          <t>VÄRMLANDS LÄN</t>
        </is>
      </c>
      <c r="G628" t="inlineStr">
        <is>
          <t>SÄFFLE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45180</v>
      </c>
      <c r="E629" s="1" t="n">
        <v>46257</v>
      </c>
      <c r="F629" t="inlineStr">
        <is>
          <t>VÄRMLANDS LÄN</t>
        </is>
      </c>
      <c r="G629" t="inlineStr">
        <is>
          <t>SÄFFLE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46257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43766-2024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45569</v>
      </c>
      <c r="E631" s="1" t="n">
        <v>46257</v>
      </c>
      <c r="F631" t="inlineStr">
        <is>
          <t>VÄRMLANDS LÄN</t>
        </is>
      </c>
      <c r="G631" t="inlineStr">
        <is>
          <t>SÄFFLE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46257</v>
      </c>
      <c r="F632" t="inlineStr">
        <is>
          <t>VÄRMLANDS LÄN</t>
        </is>
      </c>
      <c r="G632" t="inlineStr">
        <is>
          <t>SÄFFLE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46257</v>
      </c>
      <c r="F633" t="inlineStr">
        <is>
          <t>VÄRMLANDS LÄN</t>
        </is>
      </c>
      <c r="G633" t="inlineStr">
        <is>
          <t>SÄFFLE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46257</v>
      </c>
      <c r="F634" t="inlineStr">
        <is>
          <t>VÄRMLANDS LÄN</t>
        </is>
      </c>
      <c r="G634" t="inlineStr">
        <is>
          <t>SÄFFLE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44952</v>
      </c>
      <c r="E635" s="1" t="n">
        <v>46257</v>
      </c>
      <c r="F635" t="inlineStr">
        <is>
          <t>VÄRMLANDS LÄN</t>
        </is>
      </c>
      <c r="G635" t="inlineStr">
        <is>
          <t>SÄFFLE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46183</v>
      </c>
      <c r="E636" s="1" t="n">
        <v>46257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46257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46257</v>
      </c>
      <c r="F638" t="inlineStr">
        <is>
          <t>VÄRMLANDS LÄN</t>
        </is>
      </c>
      <c r="G638" t="inlineStr">
        <is>
          <t>SÄFFLE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46257</v>
      </c>
      <c r="F639" t="inlineStr">
        <is>
          <t>VÄRMLANDS LÄN</t>
        </is>
      </c>
      <c r="G639" t="inlineStr">
        <is>
          <t>SÄFFLE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45779</v>
      </c>
      <c r="E640" s="1" t="n">
        <v>46257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67174-2021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44523</v>
      </c>
      <c r="E641" s="1" t="n">
        <v>46257</v>
      </c>
      <c r="F641" t="inlineStr">
        <is>
          <t>VÄRMLANDS LÄN</t>
        </is>
      </c>
      <c r="G641" t="inlineStr">
        <is>
          <t>SÄFFLE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38291-2022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44812</v>
      </c>
      <c r="E642" s="1" t="n">
        <v>46257</v>
      </c>
      <c r="F642" t="inlineStr">
        <is>
          <t>VÄRMLANDS LÄN</t>
        </is>
      </c>
      <c r="G642" t="inlineStr">
        <is>
          <t>SÄFFLE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45706</v>
      </c>
      <c r="E643" s="1" t="n">
        <v>46257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46257</v>
      </c>
      <c r="F644" t="inlineStr">
        <is>
          <t>VÄRMLANDS LÄN</t>
        </is>
      </c>
      <c r="G644" t="inlineStr">
        <is>
          <t>SÄFFLE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45727</v>
      </c>
      <c r="E645" s="1" t="n">
        <v>46257</v>
      </c>
      <c r="F645" t="inlineStr">
        <is>
          <t>VÄRMLANDS LÄN</t>
        </is>
      </c>
      <c r="G645" t="inlineStr">
        <is>
          <t>SÄFFLE</t>
        </is>
      </c>
      <c r="I645" t="n">
        <v>11.4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27031-2023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45095</v>
      </c>
      <c r="E646" s="1" t="n">
        <v>46257</v>
      </c>
      <c r="F646" t="inlineStr">
        <is>
          <t>VÄRMLANDS LÄN</t>
        </is>
      </c>
      <c r="G646" t="inlineStr">
        <is>
          <t>SÄFFLE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46257</v>
      </c>
      <c r="F647" t="inlineStr">
        <is>
          <t>VÄRMLANDS LÄN</t>
        </is>
      </c>
      <c r="G647" t="inlineStr">
        <is>
          <t>SÄFFLE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46139</v>
      </c>
      <c r="E648" s="1" t="n">
        <v>46257</v>
      </c>
      <c r="F648" t="inlineStr">
        <is>
          <t>VÄRMLANDS LÄN</t>
        </is>
      </c>
      <c r="G648" t="inlineStr">
        <is>
          <t>SÄFFLE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54367-2022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46257</v>
      </c>
      <c r="F649" t="inlineStr">
        <is>
          <t>VÄRMLANDS LÄN</t>
        </is>
      </c>
      <c r="G649" t="inlineStr">
        <is>
          <t>SÄFFLE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58383-2021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44488</v>
      </c>
      <c r="E650" s="1" t="n">
        <v>46257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45832</v>
      </c>
      <c r="E651" s="1" t="n">
        <v>46257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45267</v>
      </c>
      <c r="E652" s="1" t="n">
        <v>46257</v>
      </c>
      <c r="F652" t="inlineStr">
        <is>
          <t>VÄRMLANDS LÄN</t>
        </is>
      </c>
      <c r="G652" t="inlineStr">
        <is>
          <t>SÄFFLE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45807</v>
      </c>
      <c r="E653" s="1" t="n">
        <v>46257</v>
      </c>
      <c r="F653" t="inlineStr">
        <is>
          <t>VÄRMLANDS LÄN</t>
        </is>
      </c>
      <c r="G653" t="inlineStr">
        <is>
          <t>SÄFFLE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26537-2025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45807</v>
      </c>
      <c r="E654" s="1" t="n">
        <v>46257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1285-2022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44572</v>
      </c>
      <c r="E655" s="1" t="n">
        <v>46257</v>
      </c>
      <c r="F655" t="inlineStr">
        <is>
          <t>VÄRMLANDS LÄN</t>
        </is>
      </c>
      <c r="G655" t="inlineStr">
        <is>
          <t>SÄFFLE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45397</v>
      </c>
      <c r="E656" s="1" t="n">
        <v>46257</v>
      </c>
      <c r="F656" t="inlineStr">
        <is>
          <t>VÄRMLANDS LÄN</t>
        </is>
      </c>
      <c r="G656" t="inlineStr">
        <is>
          <t>SÄFFLE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30249-2022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44758</v>
      </c>
      <c r="E657" s="1" t="n">
        <v>46257</v>
      </c>
      <c r="F657" t="inlineStr">
        <is>
          <t>VÄRMLANDS LÄN</t>
        </is>
      </c>
      <c r="G657" t="inlineStr">
        <is>
          <t>SÄFFLE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43862-2025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45912</v>
      </c>
      <c r="E658" s="1" t="n">
        <v>46257</v>
      </c>
      <c r="F658" t="inlineStr">
        <is>
          <t>VÄRMLANDS LÄN</t>
        </is>
      </c>
      <c r="G658" t="inlineStr">
        <is>
          <t>SÄFFLE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46257</v>
      </c>
      <c r="F659" t="inlineStr">
        <is>
          <t>VÄRMLANDS LÄN</t>
        </is>
      </c>
      <c r="G659" t="inlineStr">
        <is>
          <t>SÄFFLE</t>
        </is>
      </c>
      <c r="I659" t="n">
        <v>14.3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46257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48079-2025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46257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12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52424-2024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46257</v>
      </c>
      <c r="F662" t="inlineStr">
        <is>
          <t>VÄRMLANDS LÄN</t>
        </is>
      </c>
      <c r="G662" t="inlineStr">
        <is>
          <t>SÄFFLE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40759-2024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45558</v>
      </c>
      <c r="E663" s="1" t="n">
        <v>46257</v>
      </c>
      <c r="F663" t="inlineStr">
        <is>
          <t>VÄRMLANDS LÄN</t>
        </is>
      </c>
      <c r="G663" t="inlineStr">
        <is>
          <t>SÄFFLE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7361-2025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45704</v>
      </c>
      <c r="E664" s="1" t="n">
        <v>46257</v>
      </c>
      <c r="F664" t="inlineStr">
        <is>
          <t>VÄRMLANDS LÄN</t>
        </is>
      </c>
      <c r="G664" t="inlineStr">
        <is>
          <t>SÄFFLE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52025-2024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46257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14197-2025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45740</v>
      </c>
      <c r="E666" s="1" t="n">
        <v>46257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56552-2024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45625</v>
      </c>
      <c r="E667" s="1" t="n">
        <v>46257</v>
      </c>
      <c r="F667" t="inlineStr">
        <is>
          <t>VÄRMLANDS LÄN</t>
        </is>
      </c>
      <c r="G667" t="inlineStr">
        <is>
          <t>SÄFFLE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13274-2025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45735</v>
      </c>
      <c r="E668" s="1" t="n">
        <v>46257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11965-2025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45728</v>
      </c>
      <c r="E669" s="1" t="n">
        <v>46257</v>
      </c>
      <c r="F669" t="inlineStr">
        <is>
          <t>VÄRMLANDS LÄN</t>
        </is>
      </c>
      <c r="G669" t="inlineStr">
        <is>
          <t>SÄFFLE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46257</v>
      </c>
      <c r="F670" t="inlineStr">
        <is>
          <t>VÄRMLANDS LÄN</t>
        </is>
      </c>
      <c r="G670" t="inlineStr">
        <is>
          <t>SÄFFLE</t>
        </is>
      </c>
      <c r="H670" t="inlineStr">
        <is>
          <t>Kyrkan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46257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60198-2022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44910</v>
      </c>
      <c r="E672" s="1" t="n">
        <v>46257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44346-2024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45573</v>
      </c>
      <c r="E673" s="1" t="n">
        <v>46257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45740</v>
      </c>
      <c r="E674" s="1" t="n">
        <v>46257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46257</v>
      </c>
      <c r="F675" t="inlineStr">
        <is>
          <t>VÄRMLANDS LÄN</t>
        </is>
      </c>
      <c r="G675" t="inlineStr">
        <is>
          <t>SÄFFLE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44581</v>
      </c>
      <c r="E676" s="1" t="n">
        <v>46257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45932</v>
      </c>
      <c r="E677" s="1" t="n">
        <v>46257</v>
      </c>
      <c r="F677" t="inlineStr">
        <is>
          <t>VÄRMLANDS LÄN</t>
        </is>
      </c>
      <c r="G677" t="inlineStr">
        <is>
          <t>SÄFFLE</t>
        </is>
      </c>
      <c r="H677" t="inlineStr">
        <is>
          <t>Kyrkan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46257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46257</v>
      </c>
      <c r="F679" t="inlineStr">
        <is>
          <t>VÄRMLANDS LÄN</t>
        </is>
      </c>
      <c r="G679" t="inlineStr">
        <is>
          <t>SÄFFLE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46139</v>
      </c>
      <c r="E680" s="1" t="n">
        <v>46257</v>
      </c>
      <c r="F680" t="inlineStr">
        <is>
          <t>VÄRMLANDS LÄN</t>
        </is>
      </c>
      <c r="G680" t="inlineStr">
        <is>
          <t>SÄFFLE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45905</v>
      </c>
      <c r="E681" s="1" t="n">
        <v>46257</v>
      </c>
      <c r="F681" t="inlineStr">
        <is>
          <t>VÄRMLANDS LÄN</t>
        </is>
      </c>
      <c r="G681" t="inlineStr">
        <is>
          <t>SÄFFLE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30595-2022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44762</v>
      </c>
      <c r="E682" s="1" t="n">
        <v>46257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46257</v>
      </c>
      <c r="F683" t="inlineStr">
        <is>
          <t>VÄRMLANDS LÄN</t>
        </is>
      </c>
      <c r="G683" t="inlineStr">
        <is>
          <t>SÄFFLE</t>
        </is>
      </c>
      <c r="I683" t="n">
        <v>10.7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46257</v>
      </c>
      <c r="F684" t="inlineStr">
        <is>
          <t>VÄRMLANDS LÄN</t>
        </is>
      </c>
      <c r="G684" t="inlineStr">
        <is>
          <t>SÄFFLE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46257</v>
      </c>
      <c r="F685" t="inlineStr">
        <is>
          <t>VÄRMLANDS LÄN</t>
        </is>
      </c>
      <c r="G685" t="inlineStr">
        <is>
          <t>SÄFFLE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43099-2024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45567</v>
      </c>
      <c r="E686" s="1" t="n">
        <v>46257</v>
      </c>
      <c r="F686" t="inlineStr">
        <is>
          <t>VÄRMLANDS LÄN</t>
        </is>
      </c>
      <c r="G686" t="inlineStr">
        <is>
          <t>SÄFFLE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19865-2025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45771</v>
      </c>
      <c r="E687" s="1" t="n">
        <v>46257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45880</v>
      </c>
      <c r="E688" s="1" t="n">
        <v>46257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32102-2023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46257</v>
      </c>
      <c r="F689" t="inlineStr">
        <is>
          <t>VÄRMLANDS LÄN</t>
        </is>
      </c>
      <c r="G689" t="inlineStr">
        <is>
          <t>SÄFFLE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35117-2024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45527</v>
      </c>
      <c r="E690" s="1" t="n">
        <v>46257</v>
      </c>
      <c r="F690" t="inlineStr">
        <is>
          <t>VÄRMLANDS LÄN</t>
        </is>
      </c>
      <c r="G690" t="inlineStr">
        <is>
          <t>SÄFFLE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46257</v>
      </c>
      <c r="F691" t="inlineStr">
        <is>
          <t>VÄRMLANDS LÄN</t>
        </is>
      </c>
      <c r="G691" t="inlineStr">
        <is>
          <t>SÄFFLE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46257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67203-2021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44523</v>
      </c>
      <c r="E693" s="1" t="n">
        <v>46257</v>
      </c>
      <c r="F693" t="inlineStr">
        <is>
          <t>VÄRMLANDS LÄN</t>
        </is>
      </c>
      <c r="G693" t="inlineStr">
        <is>
          <t>SÄFFLE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46899-2021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44446</v>
      </c>
      <c r="E694" s="1" t="n">
        <v>46257</v>
      </c>
      <c r="F694" t="inlineStr">
        <is>
          <t>VÄRMLANDS LÄN</t>
        </is>
      </c>
      <c r="G694" t="inlineStr">
        <is>
          <t>SÄFFLE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9500-2025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45714</v>
      </c>
      <c r="E695" s="1" t="n">
        <v>46257</v>
      </c>
      <c r="F695" t="inlineStr">
        <is>
          <t>VÄRMLANDS LÄN</t>
        </is>
      </c>
      <c r="G695" t="inlineStr">
        <is>
          <t>SÄFFLE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47764-2025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45931</v>
      </c>
      <c r="E696" s="1" t="n">
        <v>46257</v>
      </c>
      <c r="F696" t="inlineStr">
        <is>
          <t>VÄRMLANDS LÄN</t>
        </is>
      </c>
      <c r="G696" t="inlineStr">
        <is>
          <t>SÄFFLE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46257</v>
      </c>
      <c r="F697" t="inlineStr">
        <is>
          <t>VÄRMLANDS LÄN</t>
        </is>
      </c>
      <c r="G697" t="inlineStr">
        <is>
          <t>SÄFFLE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46209</v>
      </c>
      <c r="E698" s="1" t="n">
        <v>46257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11626-2023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44994</v>
      </c>
      <c r="E699" s="1" t="n">
        <v>46257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28988-2024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45481</v>
      </c>
      <c r="E700" s="1" t="n">
        <v>46257</v>
      </c>
      <c r="F700" t="inlineStr">
        <is>
          <t>VÄRMLANDS LÄN</t>
        </is>
      </c>
      <c r="G700" t="inlineStr">
        <is>
          <t>SÄFFLE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46257</v>
      </c>
      <c r="F701" t="inlineStr">
        <is>
          <t>VÄRMLANDS LÄN</t>
        </is>
      </c>
      <c r="G701" t="inlineStr">
        <is>
          <t>SÄFFLE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46257</v>
      </c>
      <c r="F702" t="inlineStr">
        <is>
          <t>VÄRMLANDS LÄN</t>
        </is>
      </c>
      <c r="G702" t="inlineStr">
        <is>
          <t>SÄFFLE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45348-2025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45922</v>
      </c>
      <c r="E703" s="1" t="n">
        <v>46257</v>
      </c>
      <c r="F703" t="inlineStr">
        <is>
          <t>VÄRMLANDS LÄN</t>
        </is>
      </c>
      <c r="G703" t="inlineStr">
        <is>
          <t>SÄFFLE</t>
        </is>
      </c>
      <c r="I703" t="n">
        <v>7.3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46257</v>
      </c>
      <c r="F704" t="inlineStr">
        <is>
          <t>VÄRMLANDS LÄN</t>
        </is>
      </c>
      <c r="G704" t="inlineStr">
        <is>
          <t>SÄFFLE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46257</v>
      </c>
      <c r="F705" t="inlineStr">
        <is>
          <t>VÄRMLANDS LÄN</t>
        </is>
      </c>
      <c r="G705" t="inlineStr">
        <is>
          <t>SÄFFLE</t>
        </is>
      </c>
      <c r="H705" t="inlineStr">
        <is>
          <t>Kyrkan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45728</v>
      </c>
      <c r="E706" s="1" t="n">
        <v>46257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40540-2025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46257</v>
      </c>
      <c r="F707" t="inlineStr">
        <is>
          <t>VÄRMLANDS LÄN</t>
        </is>
      </c>
      <c r="G707" t="inlineStr">
        <is>
          <t>SÄFFLE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46257</v>
      </c>
      <c r="F708" t="inlineStr">
        <is>
          <t>VÄRMLANDS LÄN</t>
        </is>
      </c>
      <c r="G708" t="inlineStr">
        <is>
          <t>SÄFFLE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37000-2025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45874</v>
      </c>
      <c r="E709" s="1" t="n">
        <v>46257</v>
      </c>
      <c r="F709" t="inlineStr">
        <is>
          <t>VÄRMLANDS LÄN</t>
        </is>
      </c>
      <c r="G709" t="inlineStr">
        <is>
          <t>SÄFFLE</t>
        </is>
      </c>
      <c r="I709" t="n">
        <v>15.2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46257</v>
      </c>
      <c r="F710" t="inlineStr">
        <is>
          <t>VÄRMLANDS LÄN</t>
        </is>
      </c>
      <c r="G710" t="inlineStr">
        <is>
          <t>SÄFFLE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7360-2025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45704</v>
      </c>
      <c r="E711" s="1" t="n">
        <v>46257</v>
      </c>
      <c r="F711" t="inlineStr">
        <is>
          <t>VÄRMLANDS LÄN</t>
        </is>
      </c>
      <c r="G711" t="inlineStr">
        <is>
          <t>SÄFFLE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45700</v>
      </c>
      <c r="E712" s="1" t="n">
        <v>46257</v>
      </c>
      <c r="F712" t="inlineStr">
        <is>
          <t>VÄRMLANDS LÄN</t>
        </is>
      </c>
      <c r="G712" t="inlineStr">
        <is>
          <t>SÄFFLE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45820</v>
      </c>
      <c r="E713" s="1" t="n">
        <v>46257</v>
      </c>
      <c r="F713" t="inlineStr">
        <is>
          <t>VÄRMLANDS LÄN</t>
        </is>
      </c>
      <c r="G713" t="inlineStr">
        <is>
          <t>SÄFFLE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30768-2025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46257</v>
      </c>
      <c r="F714" t="inlineStr">
        <is>
          <t>VÄRMLANDS LÄN</t>
        </is>
      </c>
      <c r="G714" t="inlineStr">
        <is>
          <t>SÄFFLE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34251-2026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46253</v>
      </c>
      <c r="E715" s="1" t="n">
        <v>46257</v>
      </c>
      <c r="F715" t="inlineStr">
        <is>
          <t>VÄRMLANDS LÄN</t>
        </is>
      </c>
      <c r="G715" t="inlineStr">
        <is>
          <t>SÄFFLE</t>
        </is>
      </c>
      <c r="I715" t="n">
        <v>39.3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44929</v>
      </c>
      <c r="E716" s="1" t="n">
        <v>46257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46257</v>
      </c>
      <c r="F717" t="inlineStr">
        <is>
          <t>VÄRMLANDS LÄN</t>
        </is>
      </c>
      <c r="G717" t="inlineStr">
        <is>
          <t>SÄFFLE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53303-2023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45229</v>
      </c>
      <c r="E718" s="1" t="n">
        <v>46257</v>
      </c>
      <c r="F718" t="inlineStr">
        <is>
          <t>VÄRMLANDS LÄN</t>
        </is>
      </c>
      <c r="G718" t="inlineStr">
        <is>
          <t>SÄFFLE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45165-2023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45191</v>
      </c>
      <c r="E719" s="1" t="n">
        <v>46257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45167-2023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45191</v>
      </c>
      <c r="E720" s="1" t="n">
        <v>46257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40021-2025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46257</v>
      </c>
      <c r="F721" t="inlineStr">
        <is>
          <t>VÄRMLANDS LÄN</t>
        </is>
      </c>
      <c r="G721" t="inlineStr">
        <is>
          <t>SÄFFLE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46257</v>
      </c>
      <c r="F722" t="inlineStr">
        <is>
          <t>VÄRMLANDS LÄN</t>
        </is>
      </c>
      <c r="G722" t="inlineStr">
        <is>
          <t>SÄFFLE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46257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13183-2025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45735</v>
      </c>
      <c r="E724" s="1" t="n">
        <v>46257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56498-2023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45237</v>
      </c>
      <c r="E725" s="1" t="n">
        <v>46257</v>
      </c>
      <c r="F725" t="inlineStr">
        <is>
          <t>VÄRMLANDS LÄN</t>
        </is>
      </c>
      <c r="G725" t="inlineStr">
        <is>
          <t>SÄFFLE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45595</v>
      </c>
      <c r="E726" s="1" t="n">
        <v>46257</v>
      </c>
      <c r="F726" t="inlineStr">
        <is>
          <t>VÄRMLANDS LÄN</t>
        </is>
      </c>
      <c r="G726" t="inlineStr">
        <is>
          <t>SÄFFLE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44921</v>
      </c>
      <c r="E727" s="1" t="n">
        <v>46257</v>
      </c>
      <c r="F727" t="inlineStr">
        <is>
          <t>VÄRMLANDS LÄN</t>
        </is>
      </c>
      <c r="G727" t="inlineStr">
        <is>
          <t>SÄFFLE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46257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46257</v>
      </c>
      <c r="F729" t="inlineStr">
        <is>
          <t>VÄRMLANDS LÄN</t>
        </is>
      </c>
      <c r="G729" t="inlineStr">
        <is>
          <t>SÄFFLE</t>
        </is>
      </c>
      <c r="I729" t="n">
        <v>19.2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5272-2025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45692</v>
      </c>
      <c r="E730" s="1" t="n">
        <v>46257</v>
      </c>
      <c r="F730" t="inlineStr">
        <is>
          <t>VÄRMLANDS LÄN</t>
        </is>
      </c>
      <c r="G730" t="inlineStr">
        <is>
          <t>SÄFFLE</t>
        </is>
      </c>
      <c r="I730" t="n">
        <v>20.8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17505-2022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44679</v>
      </c>
      <c r="E731" s="1" t="n">
        <v>46257</v>
      </c>
      <c r="F731" t="inlineStr">
        <is>
          <t>VÄRMLANDS LÄN</t>
        </is>
      </c>
      <c r="G731" t="inlineStr">
        <is>
          <t>SÄFFLE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45063</v>
      </c>
      <c r="E732" s="1" t="n">
        <v>46257</v>
      </c>
      <c r="F732" t="inlineStr">
        <is>
          <t>VÄRMLANDS LÄN</t>
        </is>
      </c>
      <c r="G732" t="inlineStr">
        <is>
          <t>SÄFFLE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18174-2024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46257</v>
      </c>
      <c r="F733" t="inlineStr">
        <is>
          <t>VÄRMLANDS LÄN</t>
        </is>
      </c>
      <c r="G733" t="inlineStr">
        <is>
          <t>SÄFFLE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44973</v>
      </c>
      <c r="E734" s="1" t="n">
        <v>46257</v>
      </c>
      <c r="F734" t="inlineStr">
        <is>
          <t>VÄRMLANDS LÄN</t>
        </is>
      </c>
      <c r="G734" t="inlineStr">
        <is>
          <t>SÄFFLE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45847</v>
      </c>
      <c r="E735" s="1" t="n">
        <v>46257</v>
      </c>
      <c r="F735" t="inlineStr">
        <is>
          <t>VÄRMLANDS LÄN</t>
        </is>
      </c>
      <c r="G735" t="inlineStr">
        <is>
          <t>SÄFFLE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32968-2024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45517</v>
      </c>
      <c r="E736" s="1" t="n">
        <v>46257</v>
      </c>
      <c r="F736" t="inlineStr">
        <is>
          <t>VÄRMLANDS LÄN</t>
        </is>
      </c>
      <c r="G736" t="inlineStr">
        <is>
          <t>SÄFFLE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45681</v>
      </c>
      <c r="E737" s="1" t="n">
        <v>46257</v>
      </c>
      <c r="F737" t="inlineStr">
        <is>
          <t>VÄRMLANDS LÄN</t>
        </is>
      </c>
      <c r="G737" t="inlineStr">
        <is>
          <t>SÄFFLE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13029-2024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45385</v>
      </c>
      <c r="E738" s="1" t="n">
        <v>46257</v>
      </c>
      <c r="F738" t="inlineStr">
        <is>
          <t>VÄRMLANDS LÄN</t>
        </is>
      </c>
      <c r="G738" t="inlineStr">
        <is>
          <t>SÄFFLE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30387-2024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45491</v>
      </c>
      <c r="E739" s="1" t="n">
        <v>46257</v>
      </c>
      <c r="F739" t="inlineStr">
        <is>
          <t>VÄRMLANDS LÄN</t>
        </is>
      </c>
      <c r="G739" t="inlineStr">
        <is>
          <t>SÄFFLE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46257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10115-2025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45719</v>
      </c>
      <c r="E741" s="1" t="n">
        <v>46257</v>
      </c>
      <c r="F741" t="inlineStr">
        <is>
          <t>VÄRMLANDS LÄN</t>
        </is>
      </c>
      <c r="G741" t="inlineStr">
        <is>
          <t>SÄFFLE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23055-2023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46257</v>
      </c>
      <c r="F742" t="inlineStr">
        <is>
          <t>VÄRMLANDS LÄN</t>
        </is>
      </c>
      <c r="G742" t="inlineStr">
        <is>
          <t>SÄFFLE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16484-2022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44671</v>
      </c>
      <c r="E743" s="1" t="n">
        <v>46257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35417-2025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45855</v>
      </c>
      <c r="E744" s="1" t="n">
        <v>46257</v>
      </c>
      <c r="F744" t="inlineStr">
        <is>
          <t>VÄRMLANDS LÄN</t>
        </is>
      </c>
      <c r="G744" t="inlineStr">
        <is>
          <t>SÄFFLE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45063</v>
      </c>
      <c r="E745" s="1" t="n">
        <v>46257</v>
      </c>
      <c r="F745" t="inlineStr">
        <is>
          <t>VÄRMLANDS LÄN</t>
        </is>
      </c>
      <c r="G745" t="inlineStr">
        <is>
          <t>SÄFFLE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46257</v>
      </c>
      <c r="F746" t="inlineStr">
        <is>
          <t>VÄRMLANDS LÄN</t>
        </is>
      </c>
      <c r="G746" t="inlineStr">
        <is>
          <t>SÄFFLE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46257</v>
      </c>
      <c r="F747" t="inlineStr">
        <is>
          <t>VÄRMLANDS LÄN</t>
        </is>
      </c>
      <c r="G747" t="inlineStr">
        <is>
          <t>SÄFFLE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18228-2023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45040</v>
      </c>
      <c r="E748" s="1" t="n">
        <v>46257</v>
      </c>
      <c r="F748" t="inlineStr">
        <is>
          <t>VÄRMLANDS LÄN</t>
        </is>
      </c>
      <c r="G748" t="inlineStr">
        <is>
          <t>SÄFFLE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46257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64824-2023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45281</v>
      </c>
      <c r="E750" s="1" t="n">
        <v>46257</v>
      </c>
      <c r="F750" t="inlineStr">
        <is>
          <t>VÄRMLANDS LÄN</t>
        </is>
      </c>
      <c r="G750" t="inlineStr">
        <is>
          <t>SÄFFLE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46257</v>
      </c>
      <c r="F751" t="inlineStr">
        <is>
          <t>VÄRMLANDS LÄN</t>
        </is>
      </c>
      <c r="G751" t="inlineStr">
        <is>
          <t>SÄFFLE</t>
        </is>
      </c>
      <c r="I751" t="n">
        <v>8.4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46257</v>
      </c>
      <c r="F752" t="inlineStr">
        <is>
          <t>VÄRMLANDS LÄN</t>
        </is>
      </c>
      <c r="G752" t="inlineStr">
        <is>
          <t>SÄFFLE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45098</v>
      </c>
      <c r="E753" s="1" t="n">
        <v>46257</v>
      </c>
      <c r="F753" t="inlineStr">
        <is>
          <t>VÄRMLANDS LÄN</t>
        </is>
      </c>
      <c r="G753" t="inlineStr">
        <is>
          <t>SÄFFLE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45280</v>
      </c>
      <c r="E754" s="1" t="n">
        <v>46257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45386</v>
      </c>
      <c r="E755" s="1" t="n">
        <v>46257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64061-2021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44509</v>
      </c>
      <c r="E756" s="1" t="n">
        <v>46257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12134-2023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44998</v>
      </c>
      <c r="E757" s="1" t="n">
        <v>46257</v>
      </c>
      <c r="F757" t="inlineStr">
        <is>
          <t>VÄRMLANDS LÄN</t>
        </is>
      </c>
      <c r="G757" t="inlineStr">
        <is>
          <t>SÄFFLE</t>
        </is>
      </c>
      <c r="I757" t="n">
        <v>11.1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1783-2022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44574</v>
      </c>
      <c r="E758" s="1" t="n">
        <v>46257</v>
      </c>
      <c r="F758" t="inlineStr">
        <is>
          <t>VÄRMLANDS LÄN</t>
        </is>
      </c>
      <c r="G758" t="inlineStr">
        <is>
          <t>SÄFFLE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45361</v>
      </c>
      <c r="E759" s="1" t="n">
        <v>46257</v>
      </c>
      <c r="F759" t="inlineStr">
        <is>
          <t>VÄRMLANDS LÄN</t>
        </is>
      </c>
      <c r="G759" t="inlineStr">
        <is>
          <t>SÄFFLE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45314</v>
      </c>
      <c r="E760" s="1" t="n">
        <v>46257</v>
      </c>
      <c r="F760" t="inlineStr">
        <is>
          <t>VÄRMLANDS LÄN</t>
        </is>
      </c>
      <c r="G760" t="inlineStr">
        <is>
          <t>SÄFFLE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46149</v>
      </c>
      <c r="E761" s="1" t="n">
        <v>46257</v>
      </c>
      <c r="F761" t="inlineStr">
        <is>
          <t>VÄRMLANDS LÄN</t>
        </is>
      </c>
      <c r="G761" t="inlineStr">
        <is>
          <t>SÄFFLE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45057</v>
      </c>
      <c r="E762" s="1" t="n">
        <v>46257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51052-2022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44868</v>
      </c>
      <c r="E763" s="1" t="n">
        <v>46257</v>
      </c>
      <c r="F763" t="inlineStr">
        <is>
          <t>VÄRMLANDS LÄN</t>
        </is>
      </c>
      <c r="G763" t="inlineStr">
        <is>
          <t>SÄFFLE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46148</v>
      </c>
      <c r="E764" s="1" t="n">
        <v>46257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19273-2025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45769</v>
      </c>
      <c r="E765" s="1" t="n">
        <v>46257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11.6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36001-2023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46257</v>
      </c>
      <c r="F766" t="inlineStr">
        <is>
          <t>VÄRMLANDS LÄN</t>
        </is>
      </c>
      <c r="G766" t="inlineStr">
        <is>
          <t>SÄFFLE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63080-2023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45273</v>
      </c>
      <c r="E767" s="1" t="n">
        <v>46257</v>
      </c>
      <c r="F767" t="inlineStr">
        <is>
          <t>VÄRMLANDS LÄN</t>
        </is>
      </c>
      <c r="G767" t="inlineStr">
        <is>
          <t>SÄFFLE</t>
        </is>
      </c>
      <c r="I767" t="n">
        <v>11.2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47292-2021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44439</v>
      </c>
      <c r="E768" s="1" t="n">
        <v>46257</v>
      </c>
      <c r="F768" t="inlineStr">
        <is>
          <t>VÄRMLANDS LÄN</t>
        </is>
      </c>
      <c r="G768" t="inlineStr">
        <is>
          <t>SÄFFLE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45677</v>
      </c>
      <c r="E769" s="1" t="n">
        <v>46257</v>
      </c>
      <c r="F769" t="inlineStr">
        <is>
          <t>VÄRMLANDS LÄN</t>
        </is>
      </c>
      <c r="G769" t="inlineStr">
        <is>
          <t>SÄFFLE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46257</v>
      </c>
      <c r="F770" t="inlineStr">
        <is>
          <t>VÄRMLANDS LÄN</t>
        </is>
      </c>
      <c r="G770" t="inlineStr">
        <is>
          <t>SÄFFLE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14314-2024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46257</v>
      </c>
      <c r="F771" t="inlineStr">
        <is>
          <t>VÄRMLANDS LÄN</t>
        </is>
      </c>
      <c r="G771" t="inlineStr">
        <is>
          <t>SÄFFLE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10379-2022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44623</v>
      </c>
      <c r="E772" s="1" t="n">
        <v>46257</v>
      </c>
      <c r="F772" t="inlineStr">
        <is>
          <t>VÄRMLANDS LÄN</t>
        </is>
      </c>
      <c r="G772" t="inlineStr">
        <is>
          <t>SÄFFLE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22591-2026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46257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45647-2023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46257</v>
      </c>
      <c r="F774" t="inlineStr">
        <is>
          <t>VÄRMLANDS LÄN</t>
        </is>
      </c>
      <c r="G774" t="inlineStr">
        <is>
          <t>SÄFFLE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45672</v>
      </c>
      <c r="E775" s="1" t="n">
        <v>46257</v>
      </c>
      <c r="F775" t="inlineStr">
        <is>
          <t>VÄRMLANDS LÄN</t>
        </is>
      </c>
      <c r="G775" t="inlineStr">
        <is>
          <t>SÄFFLE</t>
        </is>
      </c>
      <c r="I775" t="n">
        <v>46.5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32386-2025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45837</v>
      </c>
      <c r="E776" s="1" t="n">
        <v>46257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12482-2024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45379</v>
      </c>
      <c r="E777" s="1" t="n">
        <v>46257</v>
      </c>
      <c r="F777" t="inlineStr">
        <is>
          <t>VÄRMLANDS LÄN</t>
        </is>
      </c>
      <c r="G777" t="inlineStr">
        <is>
          <t>SÄFFLE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58878-2021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44489</v>
      </c>
      <c r="E778" s="1" t="n">
        <v>46257</v>
      </c>
      <c r="F778" t="inlineStr">
        <is>
          <t>VÄRMLANDS LÄN</t>
        </is>
      </c>
      <c r="G778" t="inlineStr">
        <is>
          <t>SÄFFLE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46257</v>
      </c>
      <c r="F779" t="inlineStr">
        <is>
          <t>VÄRMLANDS LÄN</t>
        </is>
      </c>
      <c r="G779" t="inlineStr">
        <is>
          <t>SÄFFLE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46257</v>
      </c>
      <c r="F780" t="inlineStr">
        <is>
          <t>VÄRMLANDS LÄN</t>
        </is>
      </c>
      <c r="G780" t="inlineStr">
        <is>
          <t>SÄFFLE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45380</v>
      </c>
      <c r="E781" s="1" t="n">
        <v>46257</v>
      </c>
      <c r="F781" t="inlineStr">
        <is>
          <t>VÄRMLANDS LÄN</t>
        </is>
      </c>
      <c r="G781" t="inlineStr">
        <is>
          <t>SÄFFLE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45542</v>
      </c>
      <c r="E782" s="1" t="n">
        <v>46257</v>
      </c>
      <c r="F782" t="inlineStr">
        <is>
          <t>VÄRMLANDS LÄN</t>
        </is>
      </c>
      <c r="G782" t="inlineStr">
        <is>
          <t>SÄFFLE</t>
        </is>
      </c>
      <c r="I782" t="n">
        <v>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21745-2025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46257</v>
      </c>
      <c r="F783" t="inlineStr">
        <is>
          <t>VÄRMLANDS LÄN</t>
        </is>
      </c>
      <c r="G783" t="inlineStr">
        <is>
          <t>SÄFFLE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45369</v>
      </c>
      <c r="E784" s="1" t="n">
        <v>46257</v>
      </c>
      <c r="F784" t="inlineStr">
        <is>
          <t>VÄRMLANDS LÄN</t>
        </is>
      </c>
      <c r="G784" t="inlineStr">
        <is>
          <t>SÄFFLE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45890</v>
      </c>
      <c r="E785" s="1" t="n">
        <v>46257</v>
      </c>
      <c r="F785" t="inlineStr">
        <is>
          <t>VÄRMLANDS LÄN</t>
        </is>
      </c>
      <c r="G785" t="inlineStr">
        <is>
          <t>SÄFFLE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18925-2024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45427</v>
      </c>
      <c r="E786" s="1" t="n">
        <v>46257</v>
      </c>
      <c r="F786" t="inlineStr">
        <is>
          <t>VÄRMLANDS LÄN</t>
        </is>
      </c>
      <c r="G786" t="inlineStr">
        <is>
          <t>SÄFFLE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40518-2024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45555</v>
      </c>
      <c r="E787" s="1" t="n">
        <v>46257</v>
      </c>
      <c r="F787" t="inlineStr">
        <is>
          <t>VÄRMLANDS LÄN</t>
        </is>
      </c>
      <c r="G787" t="inlineStr">
        <is>
          <t>SÄFFLE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46257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7376-2026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46059</v>
      </c>
      <c r="E789" s="1" t="n">
        <v>46257</v>
      </c>
      <c r="F789" t="inlineStr">
        <is>
          <t>VÄRMLANDS LÄN</t>
        </is>
      </c>
      <c r="G789" t="inlineStr">
        <is>
          <t>SÄFFLE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45825</v>
      </c>
      <c r="E790" s="1" t="n">
        <v>46257</v>
      </c>
      <c r="F790" t="inlineStr">
        <is>
          <t>VÄRMLANDS LÄN</t>
        </is>
      </c>
      <c r="G790" t="inlineStr">
        <is>
          <t>SÄFFLE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45681</v>
      </c>
      <c r="E791" s="1" t="n">
        <v>46257</v>
      </c>
      <c r="F791" t="inlineStr">
        <is>
          <t>VÄRMLANDS LÄN</t>
        </is>
      </c>
      <c r="G791" t="inlineStr">
        <is>
          <t>SÄFFLE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46257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46257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46257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10350-2025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46257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55093-2022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44881</v>
      </c>
      <c r="E796" s="1" t="n">
        <v>46257</v>
      </c>
      <c r="F796" t="inlineStr">
        <is>
          <t>VÄRMLANDS LÄN</t>
        </is>
      </c>
      <c r="G796" t="inlineStr">
        <is>
          <t>SÄFFLE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26110-2025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45805</v>
      </c>
      <c r="E797" s="1" t="n">
        <v>46257</v>
      </c>
      <c r="F797" t="inlineStr">
        <is>
          <t>VÄRMLANDS LÄN</t>
        </is>
      </c>
      <c r="G797" t="inlineStr">
        <is>
          <t>SÄFFLE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23357-2025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46257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46257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46257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46257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46257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22993-2025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46257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22988-2025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46257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46257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46257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57179-2023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45239</v>
      </c>
      <c r="E807" s="1" t="n">
        <v>46257</v>
      </c>
      <c r="F807" t="inlineStr">
        <is>
          <t>VÄRMLANDS LÄN</t>
        </is>
      </c>
      <c r="G807" t="inlineStr">
        <is>
          <t>SÄFFLE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45796</v>
      </c>
      <c r="E808" s="1" t="n">
        <v>46257</v>
      </c>
      <c r="F808" t="inlineStr">
        <is>
          <t>VÄRMLANDS LÄN</t>
        </is>
      </c>
      <c r="G808" t="inlineStr">
        <is>
          <t>SÄFFLE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8129-2025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45707</v>
      </c>
      <c r="E809" s="1" t="n">
        <v>46257</v>
      </c>
      <c r="F809" t="inlineStr">
        <is>
          <t>VÄRMLANDS LÄN</t>
        </is>
      </c>
      <c r="G809" t="inlineStr">
        <is>
          <t>SÄFFLE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46257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46257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297-2022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46257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10147-2021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46257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7132-2022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46257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46257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10208-2021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46257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46257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46257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600-2024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46257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51.1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46257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25.3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66-2024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45299</v>
      </c>
      <c r="E821" s="1" t="n">
        <v>46257</v>
      </c>
      <c r="F821" t="inlineStr">
        <is>
          <t>VÄRMLANDS LÄN</t>
        </is>
      </c>
      <c r="G821" t="inlineStr">
        <is>
          <t>SÄFFLE</t>
        </is>
      </c>
      <c r="I821" t="n">
        <v>101.3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6546-2021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44453</v>
      </c>
      <c r="E822" s="1" t="n">
        <v>46257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46257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46257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6570-2021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44447</v>
      </c>
      <c r="E825" s="1" t="n">
        <v>46257</v>
      </c>
      <c r="F825" t="inlineStr">
        <is>
          <t>VÄRMLANDS LÄN</t>
        </is>
      </c>
      <c r="G825" t="inlineStr">
        <is>
          <t>SÄFFLE</t>
        </is>
      </c>
      <c r="H825" t="inlineStr">
        <is>
          <t>Kommuner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601-2024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46257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10202-2021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46257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296-2022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44579</v>
      </c>
      <c r="E828" s="1" t="n">
        <v>46257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10203-2021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46257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8638-2021</t>
        </is>
      </c>
      <c r="B830" t="inlineStr">
        <is>
          <t>samrådsanmälan</t>
        </is>
      </c>
      <c r="C830" t="inlineStr">
        <is>
          <t>Skogsbilväg</t>
        </is>
      </c>
      <c r="D830" s="1" t="n">
        <v>44501</v>
      </c>
      <c r="E830" s="1" t="n">
        <v>46257</v>
      </c>
      <c r="F830" t="inlineStr">
        <is>
          <t>VÄRMLANDS LÄN</t>
        </is>
      </c>
      <c r="G830" t="inlineStr">
        <is>
          <t>SÄFFLE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1402-2025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45779</v>
      </c>
      <c r="E831" s="1" t="n">
        <v>46257</v>
      </c>
      <c r="F831" t="inlineStr">
        <is>
          <t>VÄRMLANDS LÄN</t>
        </is>
      </c>
      <c r="G831" t="inlineStr">
        <is>
          <t>SÄFFLE</t>
        </is>
      </c>
      <c r="I831" t="n">
        <v>24.2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89-2026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46035</v>
      </c>
      <c r="E832" s="1" t="n">
        <v>46257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1635-2026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46177</v>
      </c>
      <c r="E833" s="1" t="n">
        <v>46257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49.3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1933-2026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46203</v>
      </c>
      <c r="E834" s="1" t="n">
        <v>46257</v>
      </c>
      <c r="F834" t="inlineStr">
        <is>
          <t>VÄRMLANDS LÄN</t>
        </is>
      </c>
      <c r="G834" t="inlineStr">
        <is>
          <t>SÄFFLE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2026-08-23T01:50:24Z</dcterms:created>
  <dcterms:modified xmlns:dcterms="http://purl.org/dc/terms/" xmlns:xsi="http://www.w3.org/2001/XMLSchema-instance" xsi:type="dcterms:W3CDTF">2026-08-23T01:50:25Z</dcterms:modified>
</cp:coreProperties>
</file>