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46286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46286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46286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46286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46286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46286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46286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46286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46286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46286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46286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46286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46286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46286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46286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46286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46286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46286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46286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46286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33538-2025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46286</v>
      </c>
      <c r="F26" t="inlineStr">
        <is>
          <t>VÄRMLANDS LÄN</t>
        </is>
      </c>
      <c r="G26" t="inlineStr">
        <is>
          <t>SÄFFLE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Vätteros</t>
        </is>
      </c>
      <c r="W26">
        <f>HYPERLINK("https://klasma.github.io/Logging_1785/artfynd/A 33538-2025 artfynd.xlsx", "A 33538-2025")</f>
        <v/>
      </c>
      <c r="X26">
        <f>HYPERLINK("https://klasma.github.io/Logging_1785/kartor/A 33538-2025 karta.png", "A 33538-2025")</f>
        <v/>
      </c>
      <c r="Y26">
        <f>HYPERLINK("https://klasma.github.io/Logging_1785/kartor_geotiff/A 33538-2025 georefererad karta.tif", "A 33538-2025")</f>
        <v/>
      </c>
      <c r="AA26">
        <f>HYPERLINK("https://klasma.github.io/Logging_1785/klagomål/A 33538-2025 FSC-klagomål.docx", "A 33538-2025")</f>
        <v/>
      </c>
      <c r="AB26">
        <f>HYPERLINK("https://klasma.github.io/Logging_1785/klagomålsmail/A 33538-2025 FSC-klagomål mail.docx", "A 33538-2025")</f>
        <v/>
      </c>
      <c r="AC26">
        <f>HYPERLINK("https://klasma.github.io/Logging_1785/tillsyn/A 33538-2025 tillsynsbegäran.docx", "A 33538-2025")</f>
        <v/>
      </c>
      <c r="AD26">
        <f>HYPERLINK("https://klasma.github.io/Logging_1785/tillsynsmail/A 33538-2025 tillsynsbegäran mail.docx", "A 33538-2025")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46286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46286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46286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12740-2024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45384</v>
      </c>
      <c r="E30" s="1" t="n">
        <v>46286</v>
      </c>
      <c r="F30" t="inlineStr">
        <is>
          <t>VÄRMLANDS LÄN</t>
        </is>
      </c>
      <c r="G30" t="inlineStr">
        <is>
          <t>SÄFFLE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HYPERLINK("https://klasma.github.io/Logging_1785/artfynd/A 12740-2024 artfynd.xlsx", "A 12740-2024")</f>
        <v/>
      </c>
      <c r="X30">
        <f>HYPERLINK("https://klasma.github.io/Logging_1785/kartor/A 12740-2024 karta.png", "A 12740-2024")</f>
        <v/>
      </c>
      <c r="Y30">
        <f>HYPERLINK("https://klasma.github.io/Logging_1785/kartor_geotiff/A 12740-2024 georefererad karta.tif", "A 12740-2024")</f>
        <v/>
      </c>
      <c r="AA30">
        <f>HYPERLINK("https://klasma.github.io/Logging_1785/klagomål/A 12740-2024 FSC-klagomål.docx", "A 12740-2024")</f>
        <v/>
      </c>
      <c r="AB30">
        <f>HYPERLINK("https://klasma.github.io/Logging_1785/klagomålsmail/A 12740-2024 FSC-klagomål mail.docx", "A 12740-2024")</f>
        <v/>
      </c>
      <c r="AC30">
        <f>HYPERLINK("https://klasma.github.io/Logging_1785/tillsyn/A 12740-2024 tillsynsbegäran.docx", "A 12740-2024")</f>
        <v/>
      </c>
      <c r="AD30">
        <f>HYPERLINK("https://klasma.github.io/Logging_1785/tillsynsmail/A 12740-2024 tillsynsbegäran mail.docx", "A 12740-2024")</f>
        <v/>
      </c>
    </row>
    <row r="31" ht="15" customHeight="1">
      <c r="A31" t="inlineStr">
        <is>
          <t>A 14428-2023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45012</v>
      </c>
      <c r="E31" s="1" t="n">
        <v>46286</v>
      </c>
      <c r="F31" t="inlineStr">
        <is>
          <t>VÄRMLANDS LÄN</t>
        </is>
      </c>
      <c r="G31" t="inlineStr">
        <is>
          <t>SÄFFLE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HYPERLINK("https://klasma.github.io/Logging_1785/artfynd/A 14428-2023 artfynd.xlsx", "A 14428-2023")</f>
        <v/>
      </c>
      <c r="X31">
        <f>HYPERLINK("https://klasma.github.io/Logging_1785/kartor/A 14428-2023 karta.png", "A 14428-2023")</f>
        <v/>
      </c>
      <c r="Y31">
        <f>HYPERLINK("https://klasma.github.io/Logging_1785/kartor_geotiff/A 14428-2023 georefererad karta.tif", "A 14428-2023")</f>
        <v/>
      </c>
      <c r="AA31">
        <f>HYPERLINK("https://klasma.github.io/Logging_1785/klagomål/A 14428-2023 FSC-klagomål.docx", "A 14428-2023")</f>
        <v/>
      </c>
      <c r="AB31">
        <f>HYPERLINK("https://klasma.github.io/Logging_1785/klagomålsmail/A 14428-2023 FSC-klagomål mail.docx", "A 14428-2023")</f>
        <v/>
      </c>
      <c r="AC31">
        <f>HYPERLINK("https://klasma.github.io/Logging_1785/tillsyn/A 14428-2023 tillsynsbegäran.docx", "A 14428-2023")</f>
        <v/>
      </c>
      <c r="AD31">
        <f>HYPERLINK("https://klasma.github.io/Logging_1785/tillsynsmail/A 14428-2023 tillsynsbegäran mail.docx", "A 14428-2023")</f>
        <v/>
      </c>
    </row>
    <row r="32" ht="15" customHeight="1">
      <c r="A32" t="inlineStr">
        <is>
          <t>A 59289-2025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46286</v>
      </c>
      <c r="F32" t="inlineStr">
        <is>
          <t>VÄRMLANDS LÄN</t>
        </is>
      </c>
      <c r="G32" t="inlineStr">
        <is>
          <t>SÄFFLE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HYPERLINK("https://klasma.github.io/Logging_1785/artfynd/A 59289-2025 artfynd.xlsx", "A 59289-2025")</f>
        <v/>
      </c>
      <c r="X32">
        <f>HYPERLINK("https://klasma.github.io/Logging_1785/kartor/A 59289-2025 karta.png", "A 59289-2025")</f>
        <v/>
      </c>
      <c r="Y32">
        <f>HYPERLINK("https://klasma.github.io/Logging_1785/kartor_geotiff/A 59289-2025 georefererad karta.tif", "A 59289-2025")</f>
        <v/>
      </c>
      <c r="AA32">
        <f>HYPERLINK("https://klasma.github.io/Logging_1785/klagomål/A 59289-2025 FSC-klagomål.docx", "A 59289-2025")</f>
        <v/>
      </c>
      <c r="AB32">
        <f>HYPERLINK("https://klasma.github.io/Logging_1785/klagomålsmail/A 59289-2025 FSC-klagomål mail.docx", "A 59289-2025")</f>
        <v/>
      </c>
      <c r="AC32">
        <f>HYPERLINK("https://klasma.github.io/Logging_1785/tillsyn/A 59289-2025 tillsynsbegäran.docx", "A 59289-2025")</f>
        <v/>
      </c>
      <c r="AD32">
        <f>HYPERLINK("https://klasma.github.io/Logging_1785/tillsynsmail/A 59289-2025 tillsynsbegäran mail.docx", "A 59289-2025")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46286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1717-2023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44936</v>
      </c>
      <c r="E34" s="1" t="n">
        <v>46286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HYPERLINK("https://klasma.github.io/Logging_1785/artfynd/A 1717-2023 artfynd.xlsx", "A 1717-2023")</f>
        <v/>
      </c>
      <c r="X34">
        <f>HYPERLINK("https://klasma.github.io/Logging_1785/kartor/A 1717-2023 karta.png", "A 1717-2023")</f>
        <v/>
      </c>
      <c r="Y34">
        <f>HYPERLINK("https://klasma.github.io/Logging_1785/kartor_geotiff/A 1717-2023 georefererad karta.tif", "A 1717-2023")</f>
        <v/>
      </c>
      <c r="AA34">
        <f>HYPERLINK("https://klasma.github.io/Logging_1785/klagomål/A 1717-2023 FSC-klagomål.docx", "A 1717-2023")</f>
        <v/>
      </c>
      <c r="AB34">
        <f>HYPERLINK("https://klasma.github.io/Logging_1785/klagomålsmail/A 1717-2023 FSC-klagomål mail.docx", "A 1717-2023")</f>
        <v/>
      </c>
      <c r="AC34">
        <f>HYPERLINK("https://klasma.github.io/Logging_1785/tillsyn/A 1717-2023 tillsynsbegäran.docx", "A 1717-2023")</f>
        <v/>
      </c>
      <c r="AD34">
        <f>HYPERLINK("https://klasma.github.io/Logging_1785/tillsynsmail/A 1717-2023 tillsynsbegäran mail.docx", "A 1717-2023")</f>
        <v/>
      </c>
    </row>
    <row r="35" ht="15" customHeight="1">
      <c r="A35" t="inlineStr">
        <is>
          <t>A 31657-2023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46286</v>
      </c>
      <c r="F35" t="inlineStr">
        <is>
          <t>VÄRMLANDS LÄN</t>
        </is>
      </c>
      <c r="G35" t="inlineStr">
        <is>
          <t>SÄFFLE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Vanlig groda</t>
        </is>
      </c>
      <c r="W35">
        <f>HYPERLINK("https://klasma.github.io/Logging_1785/artfynd/A 31657-2023 artfynd.xlsx", "A 31657-2023")</f>
        <v/>
      </c>
      <c r="X35">
        <f>HYPERLINK("https://klasma.github.io/Logging_1785/kartor/A 31657-2023 karta.png", "A 31657-2023")</f>
        <v/>
      </c>
      <c r="Y35">
        <f>HYPERLINK("https://klasma.github.io/Logging_1785/kartor_geotiff/A 31657-2023 georefererad karta.tif", "A 31657-2023")</f>
        <v/>
      </c>
      <c r="AA35">
        <f>HYPERLINK("https://klasma.github.io/Logging_1785/klagomål/A 31657-2023 FSC-klagomål.docx", "A 31657-2023")</f>
        <v/>
      </c>
      <c r="AB35">
        <f>HYPERLINK("https://klasma.github.io/Logging_1785/klagomålsmail/A 31657-2023 FSC-klagomål mail.docx", "A 31657-2023")</f>
        <v/>
      </c>
      <c r="AC35">
        <f>HYPERLINK("https://klasma.github.io/Logging_1785/tillsyn/A 31657-2023 tillsynsbegäran.docx", "A 31657-2023")</f>
        <v/>
      </c>
      <c r="AD35">
        <f>HYPERLINK("https://klasma.github.io/Logging_1785/tillsynsmail/A 31657-2023 tillsynsbegäran mail.docx", "A 31657-2023")</f>
        <v/>
      </c>
    </row>
    <row r="36" ht="15" customHeight="1">
      <c r="A36" t="inlineStr">
        <is>
          <t>A 4134-2024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45323</v>
      </c>
      <c r="E36" s="1" t="n">
        <v>46286</v>
      </c>
      <c r="F36" t="inlineStr">
        <is>
          <t>VÄRMLANDS LÄN</t>
        </is>
      </c>
      <c r="G36" t="inlineStr">
        <is>
          <t>SÄFFLE</t>
        </is>
      </c>
      <c r="I36" t="n">
        <v>4.1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HYPERLINK("https://klasma.github.io/Logging_1785/artfynd/A 4134-2024 artfynd.xlsx", "A 4134-2024")</f>
        <v/>
      </c>
      <c r="X36">
        <f>HYPERLINK("https://klasma.github.io/Logging_1785/kartor/A 4134-2024 karta.png", "A 4134-2024")</f>
        <v/>
      </c>
      <c r="Y36">
        <f>HYPERLINK("https://klasma.github.io/Logging_1785/kartor_geotiff/A 4134-2024 georefererad karta.tif", "A 4134-2024")</f>
        <v/>
      </c>
      <c r="AA36">
        <f>HYPERLINK("https://klasma.github.io/Logging_1785/klagomål/A 4134-2024 FSC-klagomål.docx", "A 4134-2024")</f>
        <v/>
      </c>
      <c r="AB36">
        <f>HYPERLINK("https://klasma.github.io/Logging_1785/klagomålsmail/A 4134-2024 FSC-klagomål mail.docx", "A 4134-2024")</f>
        <v/>
      </c>
      <c r="AC36">
        <f>HYPERLINK("https://klasma.github.io/Logging_1785/tillsyn/A 4134-2024 tillsynsbegäran.docx", "A 4134-2024")</f>
        <v/>
      </c>
      <c r="AD36">
        <f>HYPERLINK("https://klasma.github.io/Logging_1785/tillsynsmail/A 4134-2024 tillsynsbegäran mail.docx", "A 4134-2024")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46286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46286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14738-2024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46286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HYPERLINK("https://klasma.github.io/Logging_1785/artfynd/A 14738-2024 artfynd.xlsx", "A 14738-2024")</f>
        <v/>
      </c>
      <c r="X39">
        <f>HYPERLINK("https://klasma.github.io/Logging_1785/kartor/A 14738-2024 karta.png", "A 14738-2024")</f>
        <v/>
      </c>
      <c r="Y39">
        <f>HYPERLINK("https://klasma.github.io/Logging_1785/kartor_geotiff/A 14738-2024 georefererad karta.tif", "A 14738-2024")</f>
        <v/>
      </c>
      <c r="AA39">
        <f>HYPERLINK("https://klasma.github.io/Logging_1785/klagomål/A 14738-2024 FSC-klagomål.docx", "A 14738-2024")</f>
        <v/>
      </c>
      <c r="AB39">
        <f>HYPERLINK("https://klasma.github.io/Logging_1785/klagomålsmail/A 14738-2024 FSC-klagomål mail.docx", "A 14738-2024")</f>
        <v/>
      </c>
      <c r="AC39">
        <f>HYPERLINK("https://klasma.github.io/Logging_1785/tillsyn/A 14738-2024 tillsynsbegäran.docx", "A 14738-2024")</f>
        <v/>
      </c>
      <c r="AD39">
        <f>HYPERLINK("https://klasma.github.io/Logging_1785/tillsynsmail/A 14738-2024 tillsynsbegäran mail.docx", "A 14738-2024")</f>
        <v/>
      </c>
    </row>
    <row r="40" ht="15" customHeight="1">
      <c r="A40" t="inlineStr">
        <is>
          <t>A 60965-2024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46286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60965-2024 artfynd.xlsx", "A 60965-2024")</f>
        <v/>
      </c>
      <c r="X40">
        <f>HYPERLINK("https://klasma.github.io/Logging_1785/kartor/A 60965-2024 karta.png", "A 60965-2024")</f>
        <v/>
      </c>
      <c r="Y40">
        <f>HYPERLINK("https://klasma.github.io/Logging_1785/kartor_geotiff/A 60965-2024 georefererad karta.tif", "A 60965-2024")</f>
        <v/>
      </c>
      <c r="AA40">
        <f>HYPERLINK("https://klasma.github.io/Logging_1785/klagomål/A 60965-2024 FSC-klagomål.docx", "A 60965-2024")</f>
        <v/>
      </c>
      <c r="AB40">
        <f>HYPERLINK("https://klasma.github.io/Logging_1785/klagomålsmail/A 60965-2024 FSC-klagomål mail.docx", "A 60965-2024")</f>
        <v/>
      </c>
      <c r="AC40">
        <f>HYPERLINK("https://klasma.github.io/Logging_1785/tillsyn/A 60965-2024 tillsynsbegäran.docx", "A 60965-2024")</f>
        <v/>
      </c>
      <c r="AD40">
        <f>HYPERLINK("https://klasma.github.io/Logging_1785/tillsynsmail/A 60965-2024 tillsynsbegäran mail.docx", "A 60965-2024")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46286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46286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46286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46286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46286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46286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46286</v>
      </c>
      <c r="F47" t="inlineStr">
        <is>
          <t>VÄRMLANDS LÄN</t>
        </is>
      </c>
      <c r="G47" t="inlineStr">
        <is>
          <t>SÄFFLE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46286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46286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46286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46286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46286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46286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46286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46286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46286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46286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46286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46286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46286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46286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46286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46286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46286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46286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46286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46286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46286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46286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46286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46286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46286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46286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46286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46286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46286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46286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46286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46286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46286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46286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46286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46286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46286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46286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46286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46286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46286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46286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46286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46286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46286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46286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46286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46286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46286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46286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46286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46286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46286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46286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46286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46286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46286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46286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46286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46286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46286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46286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46286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46286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46286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46286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46286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46286</v>
      </c>
      <c r="F115" t="inlineStr">
        <is>
          <t>VÄRMLANDS LÄN</t>
        </is>
      </c>
      <c r="G115" t="inlineStr">
        <is>
          <t>SÄFFLE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46286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46286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46286</v>
      </c>
      <c r="F118" t="inlineStr">
        <is>
          <t>VÄRMLANDS LÄN</t>
        </is>
      </c>
      <c r="G118" t="inlineStr">
        <is>
          <t>SÄFFLE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46286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73119-2021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44546</v>
      </c>
      <c r="E120" s="1" t="n">
        <v>46286</v>
      </c>
      <c r="F120" t="inlineStr">
        <is>
          <t>VÄRMLANDS LÄN</t>
        </is>
      </c>
      <c r="G120" t="inlineStr">
        <is>
          <t>SÄFFLE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46286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46286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46286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46286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19506-2023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45050</v>
      </c>
      <c r="E125" s="1" t="n">
        <v>46286</v>
      </c>
      <c r="F125" t="inlineStr">
        <is>
          <t>VÄRMLANDS LÄN</t>
        </is>
      </c>
      <c r="G125" t="inlineStr">
        <is>
          <t>SÄFFLE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45050</v>
      </c>
      <c r="E126" s="1" t="n">
        <v>46286</v>
      </c>
      <c r="F126" t="inlineStr">
        <is>
          <t>VÄRMLANDS LÄN</t>
        </is>
      </c>
      <c r="G126" t="inlineStr">
        <is>
          <t>SÄFFLE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46286</v>
      </c>
      <c r="F127" t="inlineStr">
        <is>
          <t>VÄRMLANDS LÄN</t>
        </is>
      </c>
      <c r="G127" t="inlineStr">
        <is>
          <t>SÄFFLE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46286</v>
      </c>
      <c r="F128" t="inlineStr">
        <is>
          <t>VÄRMLANDS LÄN</t>
        </is>
      </c>
      <c r="G128" t="inlineStr">
        <is>
          <t>SÄFFLE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46286</v>
      </c>
      <c r="F129" t="inlineStr">
        <is>
          <t>VÄRMLANDS LÄN</t>
        </is>
      </c>
      <c r="G129" t="inlineStr">
        <is>
          <t>SÄFFLE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46286</v>
      </c>
      <c r="F130" t="inlineStr">
        <is>
          <t>VÄRMLANDS LÄN</t>
        </is>
      </c>
      <c r="G130" t="inlineStr">
        <is>
          <t>SÄFFLE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46286</v>
      </c>
      <c r="F131" t="inlineStr">
        <is>
          <t>VÄRMLANDS LÄN</t>
        </is>
      </c>
      <c r="G131" t="inlineStr">
        <is>
          <t>SÄFFLE</t>
        </is>
      </c>
      <c r="I131" t="n">
        <v>19.9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46286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46286</v>
      </c>
      <c r="F133" t="inlineStr">
        <is>
          <t>VÄRMLANDS LÄN</t>
        </is>
      </c>
      <c r="G133" t="inlineStr">
        <is>
          <t>SÄFFLE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45279</v>
      </c>
      <c r="E134" s="1" t="n">
        <v>46286</v>
      </c>
      <c r="F134" t="inlineStr">
        <is>
          <t>VÄRMLANDS LÄN</t>
        </is>
      </c>
      <c r="G134" t="inlineStr">
        <is>
          <t>SÄFFLE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44745</v>
      </c>
      <c r="E135" s="1" t="n">
        <v>46286</v>
      </c>
      <c r="F135" t="inlineStr">
        <is>
          <t>VÄRMLANDS LÄN</t>
        </is>
      </c>
      <c r="G135" t="inlineStr">
        <is>
          <t>SÄFFLE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46286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40808-2023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45171</v>
      </c>
      <c r="E137" s="1" t="n">
        <v>46286</v>
      </c>
      <c r="F137" t="inlineStr">
        <is>
          <t>VÄRMLANDS LÄN</t>
        </is>
      </c>
      <c r="G137" t="inlineStr">
        <is>
          <t>SÄFFLE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46286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46286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46286</v>
      </c>
      <c r="F140" t="inlineStr">
        <is>
          <t>VÄRMLANDS LÄN</t>
        </is>
      </c>
      <c r="G140" t="inlineStr">
        <is>
          <t>SÄFFLE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64803-2021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46286</v>
      </c>
      <c r="F141" t="inlineStr">
        <is>
          <t>VÄRMLANDS LÄN</t>
        </is>
      </c>
      <c r="G141" t="inlineStr">
        <is>
          <t>SÄFFLE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45278</v>
      </c>
      <c r="E142" s="1" t="n">
        <v>46286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46286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44709</v>
      </c>
      <c r="E144" s="1" t="n">
        <v>46286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46286</v>
      </c>
      <c r="F145" t="inlineStr">
        <is>
          <t>VÄRMLANDS LÄN</t>
        </is>
      </c>
      <c r="G145" t="inlineStr">
        <is>
          <t>SÄFFLE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45631</v>
      </c>
      <c r="E146" s="1" t="n">
        <v>46286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46286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46286</v>
      </c>
      <c r="F148" t="inlineStr">
        <is>
          <t>VÄRMLANDS LÄN</t>
        </is>
      </c>
      <c r="G148" t="inlineStr">
        <is>
          <t>SÄFFLE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46286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46286</v>
      </c>
      <c r="F150" t="inlineStr">
        <is>
          <t>VÄRMLANDS LÄN</t>
        </is>
      </c>
      <c r="G150" t="inlineStr">
        <is>
          <t>SÄFFLE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46286</v>
      </c>
      <c r="F151" t="inlineStr">
        <is>
          <t>VÄRMLANDS LÄN</t>
        </is>
      </c>
      <c r="G151" t="inlineStr">
        <is>
          <t>SÄFFLE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44823</v>
      </c>
      <c r="E152" s="1" t="n">
        <v>46286</v>
      </c>
      <c r="F152" t="inlineStr">
        <is>
          <t>VÄRMLANDS LÄN</t>
        </is>
      </c>
      <c r="G152" t="inlineStr">
        <is>
          <t>SÄFFLE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45372</v>
      </c>
      <c r="E153" s="1" t="n">
        <v>46286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46286</v>
      </c>
      <c r="F154" t="inlineStr">
        <is>
          <t>VÄRMLANDS LÄN</t>
        </is>
      </c>
      <c r="G154" t="inlineStr">
        <is>
          <t>SÄFFLE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46286</v>
      </c>
      <c r="F155" t="inlineStr">
        <is>
          <t>VÄRMLANDS LÄN</t>
        </is>
      </c>
      <c r="G155" t="inlineStr">
        <is>
          <t>SÄFFLE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46286</v>
      </c>
      <c r="F156" t="inlineStr">
        <is>
          <t>VÄRMLANDS LÄN</t>
        </is>
      </c>
      <c r="G156" t="inlineStr">
        <is>
          <t>SÄFFLE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46286</v>
      </c>
      <c r="F157" t="inlineStr">
        <is>
          <t>VÄRMLANDS LÄN</t>
        </is>
      </c>
      <c r="G157" t="inlineStr">
        <is>
          <t>SÄFFLE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46286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46286</v>
      </c>
      <c r="F159" t="inlineStr">
        <is>
          <t>VÄRMLANDS LÄN</t>
        </is>
      </c>
      <c r="G159" t="inlineStr">
        <is>
          <t>SÄFFLE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45454</v>
      </c>
      <c r="E160" s="1" t="n">
        <v>46286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58070-2021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44487</v>
      </c>
      <c r="E161" s="1" t="n">
        <v>46286</v>
      </c>
      <c r="F161" t="inlineStr">
        <is>
          <t>VÄRMLANDS LÄN</t>
        </is>
      </c>
      <c r="G161" t="inlineStr">
        <is>
          <t>SÄFFLE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45226</v>
      </c>
      <c r="E162" s="1" t="n">
        <v>46286</v>
      </c>
      <c r="F162" t="inlineStr">
        <is>
          <t>VÄRMLANDS LÄN</t>
        </is>
      </c>
      <c r="G162" t="inlineStr">
        <is>
          <t>SÄFFLE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46286</v>
      </c>
      <c r="F163" t="inlineStr">
        <is>
          <t>VÄRMLANDS LÄN</t>
        </is>
      </c>
      <c r="G163" t="inlineStr">
        <is>
          <t>SÄFFLE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46286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46286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44763</v>
      </c>
      <c r="E166" s="1" t="n">
        <v>46286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46286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46286</v>
      </c>
      <c r="F168" t="inlineStr">
        <is>
          <t>VÄRMLANDS LÄN</t>
        </is>
      </c>
      <c r="G168" t="inlineStr">
        <is>
          <t>SÄFFLE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46286</v>
      </c>
      <c r="F169" t="inlineStr">
        <is>
          <t>VÄRMLANDS LÄN</t>
        </is>
      </c>
      <c r="G169" t="inlineStr">
        <is>
          <t>SÄFFLE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45374</v>
      </c>
      <c r="E170" s="1" t="n">
        <v>46286</v>
      </c>
      <c r="F170" t="inlineStr">
        <is>
          <t>VÄRMLANDS LÄN</t>
        </is>
      </c>
      <c r="G170" t="inlineStr">
        <is>
          <t>SÄFFLE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45374</v>
      </c>
      <c r="E171" s="1" t="n">
        <v>46286</v>
      </c>
      <c r="F171" t="inlineStr">
        <is>
          <t>VÄRMLANDS LÄN</t>
        </is>
      </c>
      <c r="G171" t="inlineStr">
        <is>
          <t>SÄFFLE</t>
        </is>
      </c>
      <c r="H171" t="inlineStr">
        <is>
          <t>Kommuner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44538</v>
      </c>
      <c r="E172" s="1" t="n">
        <v>46286</v>
      </c>
      <c r="F172" t="inlineStr">
        <is>
          <t>VÄRMLANDS LÄN</t>
        </is>
      </c>
      <c r="G172" t="inlineStr">
        <is>
          <t>SÄFFLE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45676</v>
      </c>
      <c r="E173" s="1" t="n">
        <v>46286</v>
      </c>
      <c r="F173" t="inlineStr">
        <is>
          <t>VÄRMLANDS LÄN</t>
        </is>
      </c>
      <c r="G173" t="inlineStr">
        <is>
          <t>SÄFFLE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46286</v>
      </c>
      <c r="F174" t="inlineStr">
        <is>
          <t>VÄRMLANDS LÄN</t>
        </is>
      </c>
      <c r="G174" t="inlineStr">
        <is>
          <t>SÄFFLE</t>
        </is>
      </c>
      <c r="I174" t="n">
        <v>49.7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46286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45506</v>
      </c>
      <c r="E176" s="1" t="n">
        <v>46286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46286</v>
      </c>
      <c r="F177" t="inlineStr">
        <is>
          <t>VÄRMLANDS LÄN</t>
        </is>
      </c>
      <c r="G177" t="inlineStr">
        <is>
          <t>SÄFFLE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46286</v>
      </c>
      <c r="F178" t="inlineStr">
        <is>
          <t>VÄRMLANDS LÄN</t>
        </is>
      </c>
      <c r="G178" t="inlineStr">
        <is>
          <t>SÄFFLE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46286</v>
      </c>
      <c r="F179" t="inlineStr">
        <is>
          <t>VÄRMLANDS LÄN</t>
        </is>
      </c>
      <c r="G179" t="inlineStr">
        <is>
          <t>SÄFFLE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46286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46286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46286</v>
      </c>
      <c r="F182" t="inlineStr">
        <is>
          <t>VÄRMLANDS LÄN</t>
        </is>
      </c>
      <c r="G182" t="inlineStr">
        <is>
          <t>SÄFFLE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45516</v>
      </c>
      <c r="E183" s="1" t="n">
        <v>46286</v>
      </c>
      <c r="F183" t="inlineStr">
        <is>
          <t>VÄRMLANDS LÄN</t>
        </is>
      </c>
      <c r="G183" t="inlineStr">
        <is>
          <t>SÄFFLE</t>
        </is>
      </c>
      <c r="I183" t="n">
        <v>10.2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46286</v>
      </c>
      <c r="F184" t="inlineStr">
        <is>
          <t>VÄRMLANDS LÄN</t>
        </is>
      </c>
      <c r="G184" t="inlineStr">
        <is>
          <t>SÄFFLE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44823</v>
      </c>
      <c r="E185" s="1" t="n">
        <v>46286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44945</v>
      </c>
      <c r="E186" s="1" t="n">
        <v>46286</v>
      </c>
      <c r="F186" t="inlineStr">
        <is>
          <t>VÄRMLANDS LÄN</t>
        </is>
      </c>
      <c r="G186" t="inlineStr">
        <is>
          <t>SÄFFLE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44819</v>
      </c>
      <c r="E187" s="1" t="n">
        <v>46286</v>
      </c>
      <c r="F187" t="inlineStr">
        <is>
          <t>VÄRMLANDS LÄN</t>
        </is>
      </c>
      <c r="G187" t="inlineStr">
        <is>
          <t>SÄFFLE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46286</v>
      </c>
      <c r="F188" t="inlineStr">
        <is>
          <t>VÄRMLANDS LÄN</t>
        </is>
      </c>
      <c r="G188" t="inlineStr">
        <is>
          <t>SÄFFLE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45711</v>
      </c>
      <c r="E189" s="1" t="n">
        <v>46286</v>
      </c>
      <c r="F189" t="inlineStr">
        <is>
          <t>VÄRMLANDS LÄN</t>
        </is>
      </c>
      <c r="G189" t="inlineStr">
        <is>
          <t>SÄFFLE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46286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59224-2021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46286</v>
      </c>
      <c r="F191" t="inlineStr">
        <is>
          <t>VÄRMLANDS LÄN</t>
        </is>
      </c>
      <c r="G191" t="inlineStr">
        <is>
          <t>SÄFFLE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45740</v>
      </c>
      <c r="E192" s="1" t="n">
        <v>46286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46286</v>
      </c>
      <c r="F193" t="inlineStr">
        <is>
          <t>VÄRMLANDS LÄN</t>
        </is>
      </c>
      <c r="G193" t="inlineStr">
        <is>
          <t>SÄFFLE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44853</v>
      </c>
      <c r="E194" s="1" t="n">
        <v>46286</v>
      </c>
      <c r="F194" t="inlineStr">
        <is>
          <t>VÄRMLANDS LÄN</t>
        </is>
      </c>
      <c r="G194" t="inlineStr">
        <is>
          <t>SÄFFLE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46286</v>
      </c>
      <c r="F195" t="inlineStr">
        <is>
          <t>VÄRMLANDS LÄN</t>
        </is>
      </c>
      <c r="G195" t="inlineStr">
        <is>
          <t>SÄFFLE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46286</v>
      </c>
      <c r="F196" t="inlineStr">
        <is>
          <t>VÄRMLANDS LÄN</t>
        </is>
      </c>
      <c r="G196" t="inlineStr">
        <is>
          <t>SÄFFLE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46286</v>
      </c>
      <c r="F197" t="inlineStr">
        <is>
          <t>VÄRMLANDS LÄN</t>
        </is>
      </c>
      <c r="G197" t="inlineStr">
        <is>
          <t>SÄFFLE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46286</v>
      </c>
      <c r="F198" t="inlineStr">
        <is>
          <t>VÄRMLANDS LÄN</t>
        </is>
      </c>
      <c r="G198" t="inlineStr">
        <is>
          <t>SÄFFLE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46286</v>
      </c>
      <c r="F199" t="inlineStr">
        <is>
          <t>VÄRMLANDS LÄN</t>
        </is>
      </c>
      <c r="G199" t="inlineStr">
        <is>
          <t>SÄFFLE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46286</v>
      </c>
      <c r="F200" t="inlineStr">
        <is>
          <t>VÄRMLANDS LÄN</t>
        </is>
      </c>
      <c r="G200" t="inlineStr">
        <is>
          <t>SÄFFLE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46286</v>
      </c>
      <c r="F201" t="inlineStr">
        <is>
          <t>VÄRMLANDS LÄN</t>
        </is>
      </c>
      <c r="G201" t="inlineStr">
        <is>
          <t>SÄFFLE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46286</v>
      </c>
      <c r="F202" t="inlineStr">
        <is>
          <t>VÄRMLANDS LÄN</t>
        </is>
      </c>
      <c r="G202" t="inlineStr">
        <is>
          <t>SÄFFLE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46286</v>
      </c>
      <c r="F203" t="inlineStr">
        <is>
          <t>VÄRMLANDS LÄN</t>
        </is>
      </c>
      <c r="G203" t="inlineStr">
        <is>
          <t>SÄFFLE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46286</v>
      </c>
      <c r="F204" t="inlineStr">
        <is>
          <t>VÄRMLANDS LÄN</t>
        </is>
      </c>
      <c r="G204" t="inlineStr">
        <is>
          <t>SÄFFLE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46286</v>
      </c>
      <c r="F205" t="inlineStr">
        <is>
          <t>VÄRMLANDS LÄN</t>
        </is>
      </c>
      <c r="G205" t="inlineStr">
        <is>
          <t>SÄFFLE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15632-2024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45403</v>
      </c>
      <c r="E206" s="1" t="n">
        <v>46286</v>
      </c>
      <c r="F206" t="inlineStr">
        <is>
          <t>VÄRMLANDS LÄN</t>
        </is>
      </c>
      <c r="G206" t="inlineStr">
        <is>
          <t>SÄFFLE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44608</v>
      </c>
      <c r="E207" s="1" t="n">
        <v>46286</v>
      </c>
      <c r="F207" t="inlineStr">
        <is>
          <t>VÄRMLANDS LÄN</t>
        </is>
      </c>
      <c r="G207" t="inlineStr">
        <is>
          <t>SÄFFLE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44609</v>
      </c>
      <c r="E208" s="1" t="n">
        <v>46286</v>
      </c>
      <c r="F208" t="inlineStr">
        <is>
          <t>VÄRMLANDS LÄN</t>
        </is>
      </c>
      <c r="G208" t="inlineStr">
        <is>
          <t>SÄFFLE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46286</v>
      </c>
      <c r="F209" t="inlineStr">
        <is>
          <t>VÄRMLANDS LÄN</t>
        </is>
      </c>
      <c r="G209" t="inlineStr">
        <is>
          <t>SÄFFLE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44976</v>
      </c>
      <c r="E210" s="1" t="n">
        <v>46286</v>
      </c>
      <c r="F210" t="inlineStr">
        <is>
          <t>VÄRMLANDS LÄN</t>
        </is>
      </c>
      <c r="G210" t="inlineStr">
        <is>
          <t>SÄFFLE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46286</v>
      </c>
      <c r="F211" t="inlineStr">
        <is>
          <t>VÄRMLANDS LÄN</t>
        </is>
      </c>
      <c r="G211" t="inlineStr">
        <is>
          <t>SÄFFLE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46286</v>
      </c>
      <c r="F212" t="inlineStr">
        <is>
          <t>VÄRMLANDS LÄN</t>
        </is>
      </c>
      <c r="G212" t="inlineStr">
        <is>
          <t>SÄFFLE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46286</v>
      </c>
      <c r="F213" t="inlineStr">
        <is>
          <t>VÄRMLANDS LÄN</t>
        </is>
      </c>
      <c r="G213" t="inlineStr">
        <is>
          <t>SÄFFLE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44587</v>
      </c>
      <c r="E214" s="1" t="n">
        <v>46286</v>
      </c>
      <c r="F214" t="inlineStr">
        <is>
          <t>VÄRMLANDS LÄN</t>
        </is>
      </c>
      <c r="G214" t="inlineStr">
        <is>
          <t>SÄFFLE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44564</v>
      </c>
      <c r="E215" s="1" t="n">
        <v>46286</v>
      </c>
      <c r="F215" t="inlineStr">
        <is>
          <t>VÄRMLANDS LÄN</t>
        </is>
      </c>
      <c r="G215" t="inlineStr">
        <is>
          <t>SÄFFLE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44629</v>
      </c>
      <c r="E216" s="1" t="n">
        <v>46286</v>
      </c>
      <c r="F216" t="inlineStr">
        <is>
          <t>VÄRMLANDS LÄN</t>
        </is>
      </c>
      <c r="G216" t="inlineStr">
        <is>
          <t>SÄFFLE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44734</v>
      </c>
      <c r="E217" s="1" t="n">
        <v>46286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44993</v>
      </c>
      <c r="E218" s="1" t="n">
        <v>46286</v>
      </c>
      <c r="F218" t="inlineStr">
        <is>
          <t>VÄRMLANDS LÄN</t>
        </is>
      </c>
      <c r="G218" t="inlineStr">
        <is>
          <t>SÄFFLE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46286</v>
      </c>
      <c r="F219" t="inlineStr">
        <is>
          <t>VÄRMLANDS LÄN</t>
        </is>
      </c>
      <c r="G219" t="inlineStr">
        <is>
          <t>SÄFFLE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46286</v>
      </c>
      <c r="F220" t="inlineStr">
        <is>
          <t>VÄRMLANDS LÄN</t>
        </is>
      </c>
      <c r="G220" t="inlineStr">
        <is>
          <t>SÄFFLE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45055</v>
      </c>
      <c r="E221" s="1" t="n">
        <v>46286</v>
      </c>
      <c r="F221" t="inlineStr">
        <is>
          <t>VÄRMLANDS LÄN</t>
        </is>
      </c>
      <c r="G221" t="inlineStr">
        <is>
          <t>SÄFFLE</t>
        </is>
      </c>
      <c r="H221" t="inlineStr">
        <is>
          <t>Kommuner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63745-2021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46286</v>
      </c>
      <c r="F222" t="inlineStr">
        <is>
          <t>VÄRMLANDS LÄN</t>
        </is>
      </c>
      <c r="G222" t="inlineStr">
        <is>
          <t>SÄFFLE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46286</v>
      </c>
      <c r="F223" t="inlineStr">
        <is>
          <t>VÄRMLANDS LÄN</t>
        </is>
      </c>
      <c r="G223" t="inlineStr">
        <is>
          <t>SÄFFLE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46286</v>
      </c>
      <c r="F224" t="inlineStr">
        <is>
          <t>VÄRMLANDS LÄN</t>
        </is>
      </c>
      <c r="G224" t="inlineStr">
        <is>
          <t>SÄFFLE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45012</v>
      </c>
      <c r="E225" s="1" t="n">
        <v>46286</v>
      </c>
      <c r="F225" t="inlineStr">
        <is>
          <t>VÄRMLANDS LÄN</t>
        </is>
      </c>
      <c r="G225" t="inlineStr">
        <is>
          <t>SÄFFLE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46286</v>
      </c>
      <c r="F226" t="inlineStr">
        <is>
          <t>VÄRMLANDS LÄN</t>
        </is>
      </c>
      <c r="G226" t="inlineStr">
        <is>
          <t>SÄFFLE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73157-2021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44550</v>
      </c>
      <c r="E227" s="1" t="n">
        <v>46286</v>
      </c>
      <c r="F227" t="inlineStr">
        <is>
          <t>VÄRMLANDS LÄN</t>
        </is>
      </c>
      <c r="G227" t="inlineStr">
        <is>
          <t>SÄFFLE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45609</v>
      </c>
      <c r="E228" s="1" t="n">
        <v>46286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46286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46286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46286</v>
      </c>
      <c r="F231" t="inlineStr">
        <is>
          <t>VÄRMLANDS LÄN</t>
        </is>
      </c>
      <c r="G231" t="inlineStr">
        <is>
          <t>SÄFFLE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44910</v>
      </c>
      <c r="E232" s="1" t="n">
        <v>46286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46286</v>
      </c>
      <c r="F233" t="inlineStr">
        <is>
          <t>VÄRMLANDS LÄN</t>
        </is>
      </c>
      <c r="G233" t="inlineStr">
        <is>
          <t>SÄFFLE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46286</v>
      </c>
      <c r="F234" t="inlineStr">
        <is>
          <t>VÄRMLANDS LÄN</t>
        </is>
      </c>
      <c r="G234" t="inlineStr">
        <is>
          <t>SÄFFLE</t>
        </is>
      </c>
      <c r="H234" t="inlineStr">
        <is>
          <t>Kyrkan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45729</v>
      </c>
      <c r="E235" s="1" t="n">
        <v>46286</v>
      </c>
      <c r="F235" t="inlineStr">
        <is>
          <t>VÄRMLANDS LÄN</t>
        </is>
      </c>
      <c r="G235" t="inlineStr">
        <is>
          <t>SÄFFLE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20336-2026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46286</v>
      </c>
      <c r="F236" t="inlineStr">
        <is>
          <t>VÄRMLANDS LÄN</t>
        </is>
      </c>
      <c r="G236" t="inlineStr">
        <is>
          <t>SÄFFLE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46286</v>
      </c>
      <c r="F237" t="inlineStr">
        <is>
          <t>VÄRMLANDS LÄN</t>
        </is>
      </c>
      <c r="G237" t="inlineStr">
        <is>
          <t>SÄFFLE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46286</v>
      </c>
      <c r="F238" t="inlineStr">
        <is>
          <t>VÄRMLANDS LÄN</t>
        </is>
      </c>
      <c r="G238" t="inlineStr">
        <is>
          <t>SÄFFLE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46286</v>
      </c>
      <c r="F239" t="inlineStr">
        <is>
          <t>VÄRMLANDS LÄN</t>
        </is>
      </c>
      <c r="G239" t="inlineStr">
        <is>
          <t>SÄFFLE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46286</v>
      </c>
      <c r="F240" t="inlineStr">
        <is>
          <t>VÄRMLANDS LÄN</t>
        </is>
      </c>
      <c r="G240" t="inlineStr">
        <is>
          <t>SÄFFLE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46286</v>
      </c>
      <c r="F241" t="inlineStr">
        <is>
          <t>VÄRMLANDS LÄN</t>
        </is>
      </c>
      <c r="G241" t="inlineStr">
        <is>
          <t>SÄFFLE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46286</v>
      </c>
      <c r="F242" t="inlineStr">
        <is>
          <t>VÄRMLANDS LÄN</t>
        </is>
      </c>
      <c r="G242" t="inlineStr">
        <is>
          <t>SÄFFLE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46286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46286</v>
      </c>
      <c r="F244" t="inlineStr">
        <is>
          <t>VÄRMLANDS LÄN</t>
        </is>
      </c>
      <c r="G244" t="inlineStr">
        <is>
          <t>SÄFFLE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44985</v>
      </c>
      <c r="E245" s="1" t="n">
        <v>46286</v>
      </c>
      <c r="F245" t="inlineStr">
        <is>
          <t>VÄRMLANDS LÄN</t>
        </is>
      </c>
      <c r="G245" t="inlineStr">
        <is>
          <t>SÄFFLE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45453</v>
      </c>
      <c r="E246" s="1" t="n">
        <v>46286</v>
      </c>
      <c r="F246" t="inlineStr">
        <is>
          <t>VÄRMLANDS LÄN</t>
        </is>
      </c>
      <c r="G246" t="inlineStr">
        <is>
          <t>SÄFFLE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46286</v>
      </c>
      <c r="F247" t="inlineStr">
        <is>
          <t>VÄRMLANDS LÄN</t>
        </is>
      </c>
      <c r="G247" t="inlineStr">
        <is>
          <t>SÄFFLE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46286</v>
      </c>
      <c r="F248" t="inlineStr">
        <is>
          <t>VÄRMLANDS LÄN</t>
        </is>
      </c>
      <c r="G248" t="inlineStr">
        <is>
          <t>SÄFFLE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46286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46286</v>
      </c>
      <c r="F250" t="inlineStr">
        <is>
          <t>VÄRMLANDS LÄN</t>
        </is>
      </c>
      <c r="G250" t="inlineStr">
        <is>
          <t>SÄFFLE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46286</v>
      </c>
      <c r="F251" t="inlineStr">
        <is>
          <t>VÄRMLANDS LÄN</t>
        </is>
      </c>
      <c r="G251" t="inlineStr">
        <is>
          <t>SÄFFLE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46286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46286</v>
      </c>
      <c r="F253" t="inlineStr">
        <is>
          <t>VÄRMLANDS LÄN</t>
        </is>
      </c>
      <c r="G253" t="inlineStr">
        <is>
          <t>SÄFFLE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39588-2025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45890</v>
      </c>
      <c r="E254" s="1" t="n">
        <v>46286</v>
      </c>
      <c r="F254" t="inlineStr">
        <is>
          <t>VÄRMLANDS LÄN</t>
        </is>
      </c>
      <c r="G254" t="inlineStr">
        <is>
          <t>SÄFFLE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53788-2022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44880</v>
      </c>
      <c r="E255" s="1" t="n">
        <v>46286</v>
      </c>
      <c r="F255" t="inlineStr">
        <is>
          <t>VÄRMLANDS LÄN</t>
        </is>
      </c>
      <c r="G255" t="inlineStr">
        <is>
          <t>SÄFFLE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46286</v>
      </c>
      <c r="F256" t="inlineStr">
        <is>
          <t>VÄRMLANDS LÄN</t>
        </is>
      </c>
      <c r="G256" t="inlineStr">
        <is>
          <t>SÄFFLE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45356</v>
      </c>
      <c r="E257" s="1" t="n">
        <v>46286</v>
      </c>
      <c r="F257" t="inlineStr">
        <is>
          <t>VÄRMLANDS LÄN</t>
        </is>
      </c>
      <c r="G257" t="inlineStr">
        <is>
          <t>SÄFFLE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46286</v>
      </c>
      <c r="F258" t="inlineStr">
        <is>
          <t>VÄRMLANDS LÄN</t>
        </is>
      </c>
      <c r="G258" t="inlineStr">
        <is>
          <t>SÄFFLE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46286</v>
      </c>
      <c r="F259" t="inlineStr">
        <is>
          <t>VÄRMLANDS LÄN</t>
        </is>
      </c>
      <c r="G259" t="inlineStr">
        <is>
          <t>SÄFFLE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46286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46286</v>
      </c>
      <c r="F261" t="inlineStr">
        <is>
          <t>VÄRMLANDS LÄN</t>
        </is>
      </c>
      <c r="G261" t="inlineStr">
        <is>
          <t>SÄFFLE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39985-2025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45893</v>
      </c>
      <c r="E262" s="1" t="n">
        <v>46286</v>
      </c>
      <c r="F262" t="inlineStr">
        <is>
          <t>VÄRMLANDS LÄN</t>
        </is>
      </c>
      <c r="G262" t="inlineStr">
        <is>
          <t>SÄFFLE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45893</v>
      </c>
      <c r="E263" s="1" t="n">
        <v>46286</v>
      </c>
      <c r="F263" t="inlineStr">
        <is>
          <t>VÄRMLANDS LÄN</t>
        </is>
      </c>
      <c r="G263" t="inlineStr">
        <is>
          <t>SÄFFLE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39984-2025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45893</v>
      </c>
      <c r="E264" s="1" t="n">
        <v>46286</v>
      </c>
      <c r="F264" t="inlineStr">
        <is>
          <t>VÄRMLANDS LÄN</t>
        </is>
      </c>
      <c r="G264" t="inlineStr">
        <is>
          <t>SÄFFLE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39986-2025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45893</v>
      </c>
      <c r="E265" s="1" t="n">
        <v>46286</v>
      </c>
      <c r="F265" t="inlineStr">
        <is>
          <t>VÄRMLANDS LÄN</t>
        </is>
      </c>
      <c r="G265" t="inlineStr">
        <is>
          <t>SÄFFLE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46286</v>
      </c>
      <c r="F266" t="inlineStr">
        <is>
          <t>VÄRMLANDS LÄN</t>
        </is>
      </c>
      <c r="G266" t="inlineStr">
        <is>
          <t>SÄFFLE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46286</v>
      </c>
      <c r="F267" t="inlineStr">
        <is>
          <t>VÄRMLANDS LÄN</t>
        </is>
      </c>
      <c r="G267" t="inlineStr">
        <is>
          <t>SÄFFLE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46286</v>
      </c>
      <c r="F268" t="inlineStr">
        <is>
          <t>VÄRMLANDS LÄN</t>
        </is>
      </c>
      <c r="G268" t="inlineStr">
        <is>
          <t>SÄFFLE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45711</v>
      </c>
      <c r="E269" s="1" t="n">
        <v>46286</v>
      </c>
      <c r="F269" t="inlineStr">
        <is>
          <t>VÄRMLANDS LÄN</t>
        </is>
      </c>
      <c r="G269" t="inlineStr">
        <is>
          <t>SÄFFLE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46286</v>
      </c>
      <c r="F270" t="inlineStr">
        <is>
          <t>VÄRMLANDS LÄN</t>
        </is>
      </c>
      <c r="G270" t="inlineStr">
        <is>
          <t>SÄFFLE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46286</v>
      </c>
      <c r="F271" t="inlineStr">
        <is>
          <t>VÄRMLANDS LÄN</t>
        </is>
      </c>
      <c r="G271" t="inlineStr">
        <is>
          <t>SÄFFLE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46286</v>
      </c>
      <c r="F272" t="inlineStr">
        <is>
          <t>VÄRMLANDS LÄN</t>
        </is>
      </c>
      <c r="G272" t="inlineStr">
        <is>
          <t>SÄFFLE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46286</v>
      </c>
      <c r="F273" t="inlineStr">
        <is>
          <t>VÄRMLANDS LÄN</t>
        </is>
      </c>
      <c r="G273" t="inlineStr">
        <is>
          <t>SÄFFLE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45481</v>
      </c>
      <c r="E274" s="1" t="n">
        <v>46286</v>
      </c>
      <c r="F274" t="inlineStr">
        <is>
          <t>VÄRMLANDS LÄN</t>
        </is>
      </c>
      <c r="G274" t="inlineStr">
        <is>
          <t>SÄFFLE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46286</v>
      </c>
      <c r="F275" t="inlineStr">
        <is>
          <t>VÄRMLANDS LÄN</t>
        </is>
      </c>
      <c r="G275" t="inlineStr">
        <is>
          <t>SÄFFLE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46286</v>
      </c>
      <c r="F276" t="inlineStr">
        <is>
          <t>VÄRMLANDS LÄN</t>
        </is>
      </c>
      <c r="G276" t="inlineStr">
        <is>
          <t>SÄFFLE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45922</v>
      </c>
      <c r="E277" s="1" t="n">
        <v>46286</v>
      </c>
      <c r="F277" t="inlineStr">
        <is>
          <t>VÄRMLANDS LÄN</t>
        </is>
      </c>
      <c r="G277" t="inlineStr">
        <is>
          <t>SÄFFLE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46286</v>
      </c>
      <c r="F278" t="inlineStr">
        <is>
          <t>VÄRMLANDS LÄN</t>
        </is>
      </c>
      <c r="G278" t="inlineStr">
        <is>
          <t>SÄFFLE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46286</v>
      </c>
      <c r="F279" t="inlineStr">
        <is>
          <t>VÄRMLANDS LÄN</t>
        </is>
      </c>
      <c r="G279" t="inlineStr">
        <is>
          <t>SÄFFLE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45418</v>
      </c>
      <c r="E280" s="1" t="n">
        <v>46286</v>
      </c>
      <c r="F280" t="inlineStr">
        <is>
          <t>VÄRMLANDS LÄN</t>
        </is>
      </c>
      <c r="G280" t="inlineStr">
        <is>
          <t>SÄFFLE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45089</v>
      </c>
      <c r="E281" s="1" t="n">
        <v>46286</v>
      </c>
      <c r="F281" t="inlineStr">
        <is>
          <t>VÄRMLANDS LÄN</t>
        </is>
      </c>
      <c r="G281" t="inlineStr">
        <is>
          <t>SÄFFLE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45391</v>
      </c>
      <c r="E282" s="1" t="n">
        <v>46286</v>
      </c>
      <c r="F282" t="inlineStr">
        <is>
          <t>VÄRMLANDS LÄN</t>
        </is>
      </c>
      <c r="G282" t="inlineStr">
        <is>
          <t>SÄFFLE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46286</v>
      </c>
      <c r="F283" t="inlineStr">
        <is>
          <t>VÄRMLANDS LÄN</t>
        </is>
      </c>
      <c r="G283" t="inlineStr">
        <is>
          <t>SÄFFLE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37000-2025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45874</v>
      </c>
      <c r="E284" s="1" t="n">
        <v>46286</v>
      </c>
      <c r="F284" t="inlineStr">
        <is>
          <t>VÄRMLANDS LÄN</t>
        </is>
      </c>
      <c r="G284" t="inlineStr">
        <is>
          <t>SÄFFLE</t>
        </is>
      </c>
      <c r="I284" t="n">
        <v>15.2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46286</v>
      </c>
      <c r="F285" t="inlineStr">
        <is>
          <t>VÄRMLANDS LÄN</t>
        </is>
      </c>
      <c r="G285" t="inlineStr">
        <is>
          <t>SÄFFLE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46139</v>
      </c>
      <c r="E286" s="1" t="n">
        <v>46286</v>
      </c>
      <c r="F286" t="inlineStr">
        <is>
          <t>VÄRMLANDS LÄN</t>
        </is>
      </c>
      <c r="G286" t="inlineStr">
        <is>
          <t>SÄFFLE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45704</v>
      </c>
      <c r="E287" s="1" t="n">
        <v>46286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45820</v>
      </c>
      <c r="E288" s="1" t="n">
        <v>46286</v>
      </c>
      <c r="F288" t="inlineStr">
        <is>
          <t>VÄRMLANDS LÄN</t>
        </is>
      </c>
      <c r="G288" t="inlineStr">
        <is>
          <t>SÄFFLE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46286</v>
      </c>
      <c r="F289" t="inlineStr">
        <is>
          <t>VÄRMLANDS LÄN</t>
        </is>
      </c>
      <c r="G289" t="inlineStr">
        <is>
          <t>SÄFFLE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45904</v>
      </c>
      <c r="E290" s="1" t="n">
        <v>46286</v>
      </c>
      <c r="F290" t="inlineStr">
        <is>
          <t>VÄRMLANDS LÄN</t>
        </is>
      </c>
      <c r="G290" t="inlineStr">
        <is>
          <t>SÄFFLE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46286</v>
      </c>
      <c r="F291" t="inlineStr">
        <is>
          <t>VÄRMLANDS LÄN</t>
        </is>
      </c>
      <c r="G291" t="inlineStr">
        <is>
          <t>SÄFFLE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46286</v>
      </c>
      <c r="F292" t="inlineStr">
        <is>
          <t>VÄRMLANDS LÄN</t>
        </is>
      </c>
      <c r="G292" t="inlineStr">
        <is>
          <t>SÄFFLE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46286</v>
      </c>
      <c r="F293" t="inlineStr">
        <is>
          <t>VÄRMLANDS LÄN</t>
        </is>
      </c>
      <c r="G293" t="inlineStr">
        <is>
          <t>SÄFFLE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46286</v>
      </c>
      <c r="F294" t="inlineStr">
        <is>
          <t>VÄRMLANDS LÄN</t>
        </is>
      </c>
      <c r="G294" t="inlineStr">
        <is>
          <t>SÄFFLE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46286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46286</v>
      </c>
      <c r="F296" t="inlineStr">
        <is>
          <t>VÄRMLANDS LÄN</t>
        </is>
      </c>
      <c r="G296" t="inlineStr">
        <is>
          <t>SÄFFLE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45301</v>
      </c>
      <c r="E297" s="1" t="n">
        <v>46286</v>
      </c>
      <c r="F297" t="inlineStr">
        <is>
          <t>VÄRMLANDS LÄN</t>
        </is>
      </c>
      <c r="G297" t="inlineStr">
        <is>
          <t>SÄFFLE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45480-2024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45576</v>
      </c>
      <c r="E298" s="1" t="n">
        <v>46286</v>
      </c>
      <c r="F298" t="inlineStr">
        <is>
          <t>VÄRMLANDS LÄN</t>
        </is>
      </c>
      <c r="G298" t="inlineStr">
        <is>
          <t>SÄFFLE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46286</v>
      </c>
      <c r="F299" t="inlineStr">
        <is>
          <t>VÄRMLANDS LÄN</t>
        </is>
      </c>
      <c r="G299" t="inlineStr">
        <is>
          <t>SÄFFLE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43209-2025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45910</v>
      </c>
      <c r="E300" s="1" t="n">
        <v>46286</v>
      </c>
      <c r="F300" t="inlineStr">
        <is>
          <t>VÄRMLANDS LÄN</t>
        </is>
      </c>
      <c r="G300" t="inlineStr">
        <is>
          <t>SÄFFLE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45910</v>
      </c>
      <c r="E301" s="1" t="n">
        <v>46286</v>
      </c>
      <c r="F301" t="inlineStr">
        <is>
          <t>VÄRMLANDS LÄN</t>
        </is>
      </c>
      <c r="G301" t="inlineStr">
        <is>
          <t>SÄFFLE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45204</v>
      </c>
      <c r="E302" s="1" t="n">
        <v>46286</v>
      </c>
      <c r="F302" t="inlineStr">
        <is>
          <t>VÄRMLANDS LÄN</t>
        </is>
      </c>
      <c r="G302" t="inlineStr">
        <is>
          <t>SÄFFLE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46286</v>
      </c>
      <c r="F303" t="inlineStr">
        <is>
          <t>VÄRMLANDS LÄN</t>
        </is>
      </c>
      <c r="G303" t="inlineStr">
        <is>
          <t>SÄFFLE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46286</v>
      </c>
      <c r="F304" t="inlineStr">
        <is>
          <t>VÄRMLANDS LÄN</t>
        </is>
      </c>
      <c r="G304" t="inlineStr">
        <is>
          <t>SÄFFLE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46286</v>
      </c>
      <c r="F305" t="inlineStr">
        <is>
          <t>VÄRMLANDS LÄN</t>
        </is>
      </c>
      <c r="G305" t="inlineStr">
        <is>
          <t>SÄFFLE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46286</v>
      </c>
      <c r="F306" t="inlineStr">
        <is>
          <t>VÄRMLANDS LÄN</t>
        </is>
      </c>
      <c r="G306" t="inlineStr">
        <is>
          <t>SÄFFLE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44659</v>
      </c>
      <c r="E307" s="1" t="n">
        <v>46286</v>
      </c>
      <c r="F307" t="inlineStr">
        <is>
          <t>VÄRMLANDS LÄN</t>
        </is>
      </c>
      <c r="G307" t="inlineStr">
        <is>
          <t>SÄFFLE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46286</v>
      </c>
      <c r="F308" t="inlineStr">
        <is>
          <t>VÄRMLANDS LÄN</t>
        </is>
      </c>
      <c r="G308" t="inlineStr">
        <is>
          <t>SÄFFLE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46286</v>
      </c>
      <c r="F309" t="inlineStr">
        <is>
          <t>VÄRMLANDS LÄN</t>
        </is>
      </c>
      <c r="G309" t="inlineStr">
        <is>
          <t>SÄFFLE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63807-2023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46286</v>
      </c>
      <c r="F310" t="inlineStr">
        <is>
          <t>VÄRMLANDS LÄN</t>
        </is>
      </c>
      <c r="G310" t="inlineStr">
        <is>
          <t>SÄFFLE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44916</v>
      </c>
      <c r="E311" s="1" t="n">
        <v>46286</v>
      </c>
      <c r="F311" t="inlineStr">
        <is>
          <t>VÄRMLANDS LÄN</t>
        </is>
      </c>
      <c r="G311" t="inlineStr">
        <is>
          <t>SÄFFLE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46286</v>
      </c>
      <c r="F312" t="inlineStr">
        <is>
          <t>VÄRMLANDS LÄN</t>
        </is>
      </c>
      <c r="G312" t="inlineStr">
        <is>
          <t>SÄFFLE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45912</v>
      </c>
      <c r="E313" s="1" t="n">
        <v>46286</v>
      </c>
      <c r="F313" t="inlineStr">
        <is>
          <t>VÄRMLANDS LÄN</t>
        </is>
      </c>
      <c r="G313" t="inlineStr">
        <is>
          <t>SÄFFLE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44671</v>
      </c>
      <c r="E314" s="1" t="n">
        <v>46286</v>
      </c>
      <c r="F314" t="inlineStr">
        <is>
          <t>VÄRMLANDS LÄN</t>
        </is>
      </c>
      <c r="G314" t="inlineStr">
        <is>
          <t>SÄFFLE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46286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45358</v>
      </c>
      <c r="E316" s="1" t="n">
        <v>46286</v>
      </c>
      <c r="F316" t="inlineStr">
        <is>
          <t>VÄRMLANDS LÄN</t>
        </is>
      </c>
      <c r="G316" t="inlineStr">
        <is>
          <t>SÄFFLE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65023-2023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46286</v>
      </c>
      <c r="F317" t="inlineStr">
        <is>
          <t>VÄRMLANDS LÄN</t>
        </is>
      </c>
      <c r="G317" t="inlineStr">
        <is>
          <t>SÄFFLE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46286</v>
      </c>
      <c r="F318" t="inlineStr">
        <is>
          <t>VÄRMLANDS LÄN</t>
        </is>
      </c>
      <c r="G318" t="inlineStr">
        <is>
          <t>SÄFFLE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10115-2025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46286</v>
      </c>
      <c r="F319" t="inlineStr">
        <is>
          <t>VÄRMLANDS LÄN</t>
        </is>
      </c>
      <c r="G319" t="inlineStr">
        <is>
          <t>SÄFFLE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64366-2023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46286</v>
      </c>
      <c r="F320" t="inlineStr">
        <is>
          <t>VÄRMLANDS LÄN</t>
        </is>
      </c>
      <c r="G320" t="inlineStr">
        <is>
          <t>SÄFFLE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46286</v>
      </c>
      <c r="F321" t="inlineStr">
        <is>
          <t>VÄRMLANDS LÄN</t>
        </is>
      </c>
      <c r="G321" t="inlineStr">
        <is>
          <t>SÄFFLE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46286</v>
      </c>
      <c r="F322" t="inlineStr">
        <is>
          <t>VÄRMLANDS LÄN</t>
        </is>
      </c>
      <c r="G322" t="inlineStr">
        <is>
          <t>SÄFFLE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46286</v>
      </c>
      <c r="F323" t="inlineStr">
        <is>
          <t>VÄRMLANDS LÄN</t>
        </is>
      </c>
      <c r="G323" t="inlineStr">
        <is>
          <t>SÄFFLE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46391-2025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45925</v>
      </c>
      <c r="E324" s="1" t="n">
        <v>46286</v>
      </c>
      <c r="F324" t="inlineStr">
        <is>
          <t>VÄRMLANDS LÄN</t>
        </is>
      </c>
      <c r="G324" t="inlineStr">
        <is>
          <t>SÄFFLE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46286</v>
      </c>
      <c r="F325" t="inlineStr">
        <is>
          <t>VÄRMLANDS LÄN</t>
        </is>
      </c>
      <c r="G325" t="inlineStr">
        <is>
          <t>SÄFFLE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45342</v>
      </c>
      <c r="E326" s="1" t="n">
        <v>46286</v>
      </c>
      <c r="F326" t="inlineStr">
        <is>
          <t>VÄRMLANDS LÄN</t>
        </is>
      </c>
      <c r="G326" t="inlineStr">
        <is>
          <t>SÄFFLE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44580</v>
      </c>
      <c r="E327" s="1" t="n">
        <v>46286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46142</v>
      </c>
      <c r="E328" s="1" t="n">
        <v>46286</v>
      </c>
      <c r="F328" t="inlineStr">
        <is>
          <t>VÄRMLANDS LÄN</t>
        </is>
      </c>
      <c r="G328" t="inlineStr">
        <is>
          <t>SÄFFLE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46286</v>
      </c>
      <c r="F329" t="inlineStr">
        <is>
          <t>VÄRMLANDS LÄN</t>
        </is>
      </c>
      <c r="G329" t="inlineStr">
        <is>
          <t>SÄFFLE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46286</v>
      </c>
      <c r="F330" t="inlineStr">
        <is>
          <t>VÄRMLANDS LÄN</t>
        </is>
      </c>
      <c r="G330" t="inlineStr">
        <is>
          <t>SÄFFLE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46286</v>
      </c>
      <c r="F331" t="inlineStr">
        <is>
          <t>VÄRMLANDS LÄN</t>
        </is>
      </c>
      <c r="G331" t="inlineStr">
        <is>
          <t>SÄFFLE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45677</v>
      </c>
      <c r="E332" s="1" t="n">
        <v>46286</v>
      </c>
      <c r="F332" t="inlineStr">
        <is>
          <t>VÄRMLANDS LÄN</t>
        </is>
      </c>
      <c r="G332" t="inlineStr">
        <is>
          <t>SÄFFLE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46286</v>
      </c>
      <c r="F333" t="inlineStr">
        <is>
          <t>VÄRMLANDS LÄN</t>
        </is>
      </c>
      <c r="G333" t="inlineStr">
        <is>
          <t>SÄFFLE</t>
        </is>
      </c>
      <c r="I333" t="n">
        <v>17.3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46286</v>
      </c>
      <c r="F334" t="inlineStr">
        <is>
          <t>VÄRMLANDS LÄN</t>
        </is>
      </c>
      <c r="G334" t="inlineStr">
        <is>
          <t>SÄFFLE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58116-2023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45249</v>
      </c>
      <c r="E335" s="1" t="n">
        <v>46286</v>
      </c>
      <c r="F335" t="inlineStr">
        <is>
          <t>VÄRMLANDS LÄN</t>
        </is>
      </c>
      <c r="G335" t="inlineStr">
        <is>
          <t>SÄFFLE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45523</v>
      </c>
      <c r="E336" s="1" t="n">
        <v>46286</v>
      </c>
      <c r="F336" t="inlineStr">
        <is>
          <t>VÄRMLANDS LÄN</t>
        </is>
      </c>
      <c r="G336" t="inlineStr">
        <is>
          <t>SÄFFLE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64322-2023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46286</v>
      </c>
      <c r="F337" t="inlineStr">
        <is>
          <t>VÄRMLANDS LÄN</t>
        </is>
      </c>
      <c r="G337" t="inlineStr">
        <is>
          <t>SÄFFLE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44663</v>
      </c>
      <c r="E338" s="1" t="n">
        <v>46286</v>
      </c>
      <c r="F338" t="inlineStr">
        <is>
          <t>VÄRMLANDS LÄN</t>
        </is>
      </c>
      <c r="G338" t="inlineStr">
        <is>
          <t>SÄFFLE</t>
        </is>
      </c>
      <c r="I338" t="n">
        <v>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45471</v>
      </c>
      <c r="E339" s="1" t="n">
        <v>46286</v>
      </c>
      <c r="F339" t="inlineStr">
        <is>
          <t>VÄRMLANDS LÄN</t>
        </is>
      </c>
      <c r="G339" t="inlineStr">
        <is>
          <t>SÄFFLE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45324</v>
      </c>
      <c r="E340" s="1" t="n">
        <v>46286</v>
      </c>
      <c r="F340" t="inlineStr">
        <is>
          <t>VÄRMLANDS LÄN</t>
        </is>
      </c>
      <c r="G340" t="inlineStr">
        <is>
          <t>SÄFFLE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46286</v>
      </c>
      <c r="F341" t="inlineStr">
        <is>
          <t>VÄRMLANDS LÄN</t>
        </is>
      </c>
      <c r="G341" t="inlineStr">
        <is>
          <t>SÄFFLE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45937</v>
      </c>
      <c r="E342" s="1" t="n">
        <v>46286</v>
      </c>
      <c r="F342" t="inlineStr">
        <is>
          <t>VÄRMLANDS LÄN</t>
        </is>
      </c>
      <c r="G342" t="inlineStr">
        <is>
          <t>SÄFFLE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46286</v>
      </c>
      <c r="F343" t="inlineStr">
        <is>
          <t>VÄRMLANDS LÄN</t>
        </is>
      </c>
      <c r="G343" t="inlineStr">
        <is>
          <t>SÄFFLE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46286</v>
      </c>
      <c r="F344" t="inlineStr">
        <is>
          <t>VÄRMLANDS LÄN</t>
        </is>
      </c>
      <c r="G344" t="inlineStr">
        <is>
          <t>SÄFFLE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46149</v>
      </c>
      <c r="E345" s="1" t="n">
        <v>46286</v>
      </c>
      <c r="F345" t="inlineStr">
        <is>
          <t>VÄRMLANDS LÄN</t>
        </is>
      </c>
      <c r="G345" t="inlineStr">
        <is>
          <t>SÄFFLE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46286</v>
      </c>
      <c r="F346" t="inlineStr">
        <is>
          <t>VÄRMLANDS LÄN</t>
        </is>
      </c>
      <c r="G346" t="inlineStr">
        <is>
          <t>SÄFFLE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73355-2021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44550</v>
      </c>
      <c r="E347" s="1" t="n">
        <v>46286</v>
      </c>
      <c r="F347" t="inlineStr">
        <is>
          <t>VÄRMLANDS LÄN</t>
        </is>
      </c>
      <c r="G347" t="inlineStr">
        <is>
          <t>SÄFFLE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46286</v>
      </c>
      <c r="F348" t="inlineStr">
        <is>
          <t>VÄRMLANDS LÄN</t>
        </is>
      </c>
      <c r="G348" t="inlineStr">
        <is>
          <t>SÄFFLE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46286</v>
      </c>
      <c r="F349" t="inlineStr">
        <is>
          <t>VÄRMLANDS LÄN</t>
        </is>
      </c>
      <c r="G349" t="inlineStr">
        <is>
          <t>SÄFFLE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46286</v>
      </c>
      <c r="F350" t="inlineStr">
        <is>
          <t>VÄRMLANDS LÄN</t>
        </is>
      </c>
      <c r="G350" t="inlineStr">
        <is>
          <t>SÄFFLE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46286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43995-2024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45572</v>
      </c>
      <c r="E352" s="1" t="n">
        <v>46286</v>
      </c>
      <c r="F352" t="inlineStr">
        <is>
          <t>VÄRMLANDS LÄN</t>
        </is>
      </c>
      <c r="G352" t="inlineStr">
        <is>
          <t>SÄFFLE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45949</v>
      </c>
      <c r="E353" s="1" t="n">
        <v>46286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46286</v>
      </c>
      <c r="F354" t="inlineStr">
        <is>
          <t>VÄRMLANDS LÄN</t>
        </is>
      </c>
      <c r="G354" t="inlineStr">
        <is>
          <t>SÄFFLE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45295</v>
      </c>
      <c r="E355" s="1" t="n">
        <v>46286</v>
      </c>
      <c r="F355" t="inlineStr">
        <is>
          <t>VÄRMLANDS LÄN</t>
        </is>
      </c>
      <c r="G355" t="inlineStr">
        <is>
          <t>SÄFFLE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45330</v>
      </c>
      <c r="E356" s="1" t="n">
        <v>46286</v>
      </c>
      <c r="F356" t="inlineStr">
        <is>
          <t>VÄRMLANDS LÄN</t>
        </is>
      </c>
      <c r="G356" t="inlineStr">
        <is>
          <t>SÄFFLE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41804-2023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45176</v>
      </c>
      <c r="E357" s="1" t="n">
        <v>46286</v>
      </c>
      <c r="F357" t="inlineStr">
        <is>
          <t>VÄRMLANDS LÄN</t>
        </is>
      </c>
      <c r="G357" t="inlineStr">
        <is>
          <t>SÄFFLE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46286</v>
      </c>
      <c r="F358" t="inlineStr">
        <is>
          <t>VÄRMLANDS LÄN</t>
        </is>
      </c>
      <c r="G358" t="inlineStr">
        <is>
          <t>SÄFFLE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45367</v>
      </c>
      <c r="E359" s="1" t="n">
        <v>46286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44988</v>
      </c>
      <c r="E360" s="1" t="n">
        <v>46286</v>
      </c>
      <c r="F360" t="inlineStr">
        <is>
          <t>VÄRMLANDS LÄN</t>
        </is>
      </c>
      <c r="G360" t="inlineStr">
        <is>
          <t>SÄFFLE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46286</v>
      </c>
      <c r="F361" t="inlineStr">
        <is>
          <t>VÄRMLANDS LÄN</t>
        </is>
      </c>
      <c r="G361" t="inlineStr">
        <is>
          <t>SÄFFLE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33857-2023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46286</v>
      </c>
      <c r="F362" t="inlineStr">
        <is>
          <t>VÄRMLANDS LÄN</t>
        </is>
      </c>
      <c r="G362" t="inlineStr">
        <is>
          <t>SÄFFLE</t>
        </is>
      </c>
      <c r="I362" t="n">
        <v>29.5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46286</v>
      </c>
      <c r="F363" t="inlineStr">
        <is>
          <t>VÄRMLANDS LÄN</t>
        </is>
      </c>
      <c r="G363" t="inlineStr">
        <is>
          <t>SÄFFLE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46286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45439</v>
      </c>
      <c r="E365" s="1" t="n">
        <v>46286</v>
      </c>
      <c r="F365" t="inlineStr">
        <is>
          <t>VÄRMLANDS LÄN</t>
        </is>
      </c>
      <c r="G365" t="inlineStr">
        <is>
          <t>SÄFFLE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46286</v>
      </c>
      <c r="F366" t="inlineStr">
        <is>
          <t>VÄRMLANDS LÄN</t>
        </is>
      </c>
      <c r="G366" t="inlineStr">
        <is>
          <t>SÄFFLE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46286</v>
      </c>
      <c r="F367" t="inlineStr">
        <is>
          <t>VÄRMLANDS LÄN</t>
        </is>
      </c>
      <c r="G367" t="inlineStr">
        <is>
          <t>SÄFFLE</t>
        </is>
      </c>
      <c r="I367" t="n">
        <v>11.9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45261</v>
      </c>
      <c r="E368" s="1" t="n">
        <v>46286</v>
      </c>
      <c r="F368" t="inlineStr">
        <is>
          <t>VÄRMLANDS LÄN</t>
        </is>
      </c>
      <c r="G368" t="inlineStr">
        <is>
          <t>SÄFFLE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44777</v>
      </c>
      <c r="E369" s="1" t="n">
        <v>46286</v>
      </c>
      <c r="F369" t="inlineStr">
        <is>
          <t>VÄRMLANDS LÄN</t>
        </is>
      </c>
      <c r="G369" t="inlineStr">
        <is>
          <t>SÄFFLE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45428</v>
      </c>
      <c r="E370" s="1" t="n">
        <v>46286</v>
      </c>
      <c r="F370" t="inlineStr">
        <is>
          <t>VÄRMLANDS LÄN</t>
        </is>
      </c>
      <c r="G370" t="inlineStr">
        <is>
          <t>SÄFFLE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32386-2025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45837</v>
      </c>
      <c r="E371" s="1" t="n">
        <v>46286</v>
      </c>
      <c r="F371" t="inlineStr">
        <is>
          <t>VÄRMLANDS LÄN</t>
        </is>
      </c>
      <c r="G371" t="inlineStr">
        <is>
          <t>SÄFFLE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46286</v>
      </c>
      <c r="F372" t="inlineStr">
        <is>
          <t>VÄRMLANDS LÄN</t>
        </is>
      </c>
      <c r="G372" t="inlineStr">
        <is>
          <t>SÄFFLE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45394</v>
      </c>
      <c r="E373" s="1" t="n">
        <v>46286</v>
      </c>
      <c r="F373" t="inlineStr">
        <is>
          <t>VÄRMLANDS LÄN</t>
        </is>
      </c>
      <c r="G373" t="inlineStr">
        <is>
          <t>SÄFFLE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45146</v>
      </c>
      <c r="E374" s="1" t="n">
        <v>46286</v>
      </c>
      <c r="F374" t="inlineStr">
        <is>
          <t>VÄRMLANDS LÄN</t>
        </is>
      </c>
      <c r="G374" t="inlineStr">
        <is>
          <t>SÄFFLE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44678</v>
      </c>
      <c r="E375" s="1" t="n">
        <v>46286</v>
      </c>
      <c r="F375" t="inlineStr">
        <is>
          <t>VÄRMLANDS LÄN</t>
        </is>
      </c>
      <c r="G375" t="inlineStr">
        <is>
          <t>SÄFFLE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46286</v>
      </c>
      <c r="F376" t="inlineStr">
        <is>
          <t>VÄRMLANDS LÄN</t>
        </is>
      </c>
      <c r="G376" t="inlineStr">
        <is>
          <t>SÄFFLE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46286</v>
      </c>
      <c r="F377" t="inlineStr">
        <is>
          <t>VÄRMLANDS LÄN</t>
        </is>
      </c>
      <c r="G377" t="inlineStr">
        <is>
          <t>SÄFFLE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12482-2024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45379</v>
      </c>
      <c r="E378" s="1" t="n">
        <v>46286</v>
      </c>
      <c r="F378" t="inlineStr">
        <is>
          <t>VÄRMLANDS LÄN</t>
        </is>
      </c>
      <c r="G378" t="inlineStr">
        <is>
          <t>SÄFFLE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17916-2024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45419</v>
      </c>
      <c r="E379" s="1" t="n">
        <v>46286</v>
      </c>
      <c r="F379" t="inlineStr">
        <is>
          <t>VÄRMLANDS LÄN</t>
        </is>
      </c>
      <c r="G379" t="inlineStr">
        <is>
          <t>SÄFFLE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56684-2025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45975</v>
      </c>
      <c r="E380" s="1" t="n">
        <v>46286</v>
      </c>
      <c r="F380" t="inlineStr">
        <is>
          <t>VÄRMLANDS LÄN</t>
        </is>
      </c>
      <c r="G380" t="inlineStr">
        <is>
          <t>SÄFFLE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45977</v>
      </c>
      <c r="E381" s="1" t="n">
        <v>46286</v>
      </c>
      <c r="F381" t="inlineStr">
        <is>
          <t>VÄRMLANDS LÄN</t>
        </is>
      </c>
      <c r="G381" t="inlineStr">
        <is>
          <t>SÄFFLE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46286</v>
      </c>
      <c r="F382" t="inlineStr">
        <is>
          <t>VÄRMLANDS LÄN</t>
        </is>
      </c>
      <c r="G382" t="inlineStr">
        <is>
          <t>SÄFFLE</t>
        </is>
      </c>
      <c r="H382" t="inlineStr">
        <is>
          <t>Kyrkan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46286</v>
      </c>
      <c r="F383" t="inlineStr">
        <is>
          <t>VÄRMLANDS LÄN</t>
        </is>
      </c>
      <c r="G383" t="inlineStr">
        <is>
          <t>SÄFFLE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46154</v>
      </c>
      <c r="E384" s="1" t="n">
        <v>46286</v>
      </c>
      <c r="F384" t="inlineStr">
        <is>
          <t>VÄRMLANDS LÄN</t>
        </is>
      </c>
      <c r="G384" t="inlineStr">
        <is>
          <t>SÄFFLE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60018-2023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46286</v>
      </c>
      <c r="F385" t="inlineStr">
        <is>
          <t>VÄRMLANDS LÄN</t>
        </is>
      </c>
      <c r="G385" t="inlineStr">
        <is>
          <t>SÄFFLE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46286</v>
      </c>
      <c r="F386" t="inlineStr">
        <is>
          <t>VÄRMLANDS LÄN</t>
        </is>
      </c>
      <c r="G386" t="inlineStr">
        <is>
          <t>SÄFFLE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58085-2025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45982</v>
      </c>
      <c r="E387" s="1" t="n">
        <v>46286</v>
      </c>
      <c r="F387" t="inlineStr">
        <is>
          <t>VÄRMLANDS LÄN</t>
        </is>
      </c>
      <c r="G387" t="inlineStr">
        <is>
          <t>SÄFFLE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53239-2021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44468</v>
      </c>
      <c r="E388" s="1" t="n">
        <v>46286</v>
      </c>
      <c r="F388" t="inlineStr">
        <is>
          <t>VÄRMLANDS LÄN</t>
        </is>
      </c>
      <c r="G388" t="inlineStr">
        <is>
          <t>SÄFFLE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46286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63787-2021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44509</v>
      </c>
      <c r="E390" s="1" t="n">
        <v>46286</v>
      </c>
      <c r="F390" t="inlineStr">
        <is>
          <t>VÄRMLANDS LÄN</t>
        </is>
      </c>
      <c r="G390" t="inlineStr">
        <is>
          <t>SÄFFLE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46286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45982</v>
      </c>
      <c r="E392" s="1" t="n">
        <v>46286</v>
      </c>
      <c r="F392" t="inlineStr">
        <is>
          <t>VÄRMLANDS LÄN</t>
        </is>
      </c>
      <c r="G392" t="inlineStr">
        <is>
          <t>SÄFFLE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46286</v>
      </c>
      <c r="F393" t="inlineStr">
        <is>
          <t>VÄRMLANDS LÄN</t>
        </is>
      </c>
      <c r="G393" t="inlineStr">
        <is>
          <t>SÄFFLE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45525</v>
      </c>
      <c r="E394" s="1" t="n">
        <v>46286</v>
      </c>
      <c r="F394" t="inlineStr">
        <is>
          <t>VÄRMLANDS LÄN</t>
        </is>
      </c>
      <c r="G394" t="inlineStr">
        <is>
          <t>SÄFFLE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45542</v>
      </c>
      <c r="E395" s="1" t="n">
        <v>46286</v>
      </c>
      <c r="F395" t="inlineStr">
        <is>
          <t>VÄRMLANDS LÄN</t>
        </is>
      </c>
      <c r="G395" t="inlineStr">
        <is>
          <t>SÄFFLE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46286</v>
      </c>
      <c r="F396" t="inlineStr">
        <is>
          <t>VÄRMLANDS LÄN</t>
        </is>
      </c>
      <c r="G396" t="inlineStr">
        <is>
          <t>SÄFFLE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46286</v>
      </c>
      <c r="F397" t="inlineStr">
        <is>
          <t>VÄRMLANDS LÄN</t>
        </is>
      </c>
      <c r="G397" t="inlineStr">
        <is>
          <t>SÄFFLE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45719</v>
      </c>
      <c r="E398" s="1" t="n">
        <v>46286</v>
      </c>
      <c r="F398" t="inlineStr">
        <is>
          <t>VÄRMLANDS LÄN</t>
        </is>
      </c>
      <c r="G398" t="inlineStr">
        <is>
          <t>SÄFFLE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46286</v>
      </c>
      <c r="F399" t="inlineStr">
        <is>
          <t>VÄRMLANDS LÄN</t>
        </is>
      </c>
      <c r="G399" t="inlineStr">
        <is>
          <t>SÄFFLE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59381-2025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46286</v>
      </c>
      <c r="F400" t="inlineStr">
        <is>
          <t>VÄRMLANDS LÄN</t>
        </is>
      </c>
      <c r="G400" t="inlineStr">
        <is>
          <t>SÄFFLE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46286</v>
      </c>
      <c r="F401" t="inlineStr">
        <is>
          <t>VÄRMLANDS LÄN</t>
        </is>
      </c>
      <c r="G401" t="inlineStr">
        <is>
          <t>SÄFFLE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46286</v>
      </c>
      <c r="F402" t="inlineStr">
        <is>
          <t>VÄRMLANDS LÄN</t>
        </is>
      </c>
      <c r="G402" t="inlineStr">
        <is>
          <t>SÄFFLE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46286</v>
      </c>
      <c r="F403" t="inlineStr">
        <is>
          <t>VÄRMLANDS LÄN</t>
        </is>
      </c>
      <c r="G403" t="inlineStr">
        <is>
          <t>SÄFFLE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46286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46286</v>
      </c>
      <c r="F405" t="inlineStr">
        <is>
          <t>VÄRMLANDS LÄN</t>
        </is>
      </c>
      <c r="G405" t="inlineStr">
        <is>
          <t>SÄFFLE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39587-2025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46286</v>
      </c>
      <c r="F406" t="inlineStr">
        <is>
          <t>VÄRMLANDS LÄN</t>
        </is>
      </c>
      <c r="G406" t="inlineStr">
        <is>
          <t>SÄFFLE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46286</v>
      </c>
      <c r="F407" t="inlineStr">
        <is>
          <t>VÄRMLANDS LÄN</t>
        </is>
      </c>
      <c r="G407" t="inlineStr">
        <is>
          <t>SÄFFLE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45425</v>
      </c>
      <c r="E408" s="1" t="n">
        <v>46286</v>
      </c>
      <c r="F408" t="inlineStr">
        <is>
          <t>VÄRMLANDS LÄN</t>
        </is>
      </c>
      <c r="G408" t="inlineStr">
        <is>
          <t>SÄFFLE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46286</v>
      </c>
      <c r="F409" t="inlineStr">
        <is>
          <t>VÄRMLANDS LÄN</t>
        </is>
      </c>
      <c r="G409" t="inlineStr">
        <is>
          <t>SÄFFLE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51203-2024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46286</v>
      </c>
      <c r="F410" t="inlineStr">
        <is>
          <t>VÄRMLANDS LÄN</t>
        </is>
      </c>
      <c r="G410" t="inlineStr">
        <is>
          <t>SÄFFLE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46059</v>
      </c>
      <c r="E411" s="1" t="n">
        <v>46286</v>
      </c>
      <c r="F411" t="inlineStr">
        <is>
          <t>VÄRMLANDS LÄN</t>
        </is>
      </c>
      <c r="G411" t="inlineStr">
        <is>
          <t>SÄFFLE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46286</v>
      </c>
      <c r="F412" t="inlineStr">
        <is>
          <t>VÄRMLANDS LÄN</t>
        </is>
      </c>
      <c r="G412" t="inlineStr">
        <is>
          <t>SÄFFLE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46286</v>
      </c>
      <c r="F413" t="inlineStr">
        <is>
          <t>VÄRMLANDS LÄN</t>
        </is>
      </c>
      <c r="G413" t="inlineStr">
        <is>
          <t>SÄFFLE</t>
        </is>
      </c>
      <c r="H413" t="inlineStr">
        <is>
          <t>Kyrkan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46286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46286</v>
      </c>
      <c r="F415" t="inlineStr">
        <is>
          <t>VÄRMLANDS LÄN</t>
        </is>
      </c>
      <c r="G415" t="inlineStr">
        <is>
          <t>SÄFFLE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45477</v>
      </c>
      <c r="E416" s="1" t="n">
        <v>46286</v>
      </c>
      <c r="F416" t="inlineStr">
        <is>
          <t>VÄRMLANDS LÄN</t>
        </is>
      </c>
      <c r="G416" t="inlineStr">
        <is>
          <t>SÄFFLE</t>
        </is>
      </c>
      <c r="I416" t="n">
        <v>9.4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46286</v>
      </c>
      <c r="F417" t="inlineStr">
        <is>
          <t>VÄRMLANDS LÄN</t>
        </is>
      </c>
      <c r="G417" t="inlineStr">
        <is>
          <t>SÄFFLE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46286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45639</v>
      </c>
      <c r="E419" s="1" t="n">
        <v>46286</v>
      </c>
      <c r="F419" t="inlineStr">
        <is>
          <t>VÄRMLANDS LÄN</t>
        </is>
      </c>
      <c r="G419" t="inlineStr">
        <is>
          <t>SÄFFLE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45450</v>
      </c>
      <c r="E420" s="1" t="n">
        <v>46286</v>
      </c>
      <c r="F420" t="inlineStr">
        <is>
          <t>VÄRMLANDS LÄN</t>
        </is>
      </c>
      <c r="G420" t="inlineStr">
        <is>
          <t>SÄFFLE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46286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38534-2022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44813</v>
      </c>
      <c r="E422" s="1" t="n">
        <v>46286</v>
      </c>
      <c r="F422" t="inlineStr">
        <is>
          <t>VÄRMLANDS LÄN</t>
        </is>
      </c>
      <c r="G422" t="inlineStr">
        <is>
          <t>SÄFFLE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46286</v>
      </c>
      <c r="F423" t="inlineStr">
        <is>
          <t>VÄRMLANDS LÄN</t>
        </is>
      </c>
      <c r="G423" t="inlineStr">
        <is>
          <t>SÄFFLE</t>
        </is>
      </c>
      <c r="I423" t="n">
        <v>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46286</v>
      </c>
      <c r="F424" t="inlineStr">
        <is>
          <t>VÄRMLANDS LÄN</t>
        </is>
      </c>
      <c r="G424" t="inlineStr">
        <is>
          <t>SÄFFLE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46286</v>
      </c>
      <c r="F425" t="inlineStr">
        <is>
          <t>VÄRMLANDS LÄN</t>
        </is>
      </c>
      <c r="G425" t="inlineStr">
        <is>
          <t>SÄFFLE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44960</v>
      </c>
      <c r="E426" s="1" t="n">
        <v>46286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46286</v>
      </c>
      <c r="F427" t="inlineStr">
        <is>
          <t>VÄRMLANDS LÄN</t>
        </is>
      </c>
      <c r="G427" t="inlineStr">
        <is>
          <t>SÄFFLE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45457</v>
      </c>
      <c r="E428" s="1" t="n">
        <v>46286</v>
      </c>
      <c r="F428" t="inlineStr">
        <is>
          <t>VÄRMLANDS LÄN</t>
        </is>
      </c>
      <c r="G428" t="inlineStr">
        <is>
          <t>SÄFFLE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46286</v>
      </c>
      <c r="F429" t="inlineStr">
        <is>
          <t>VÄRMLANDS LÄN</t>
        </is>
      </c>
      <c r="G429" t="inlineStr">
        <is>
          <t>SÄFFLE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46286</v>
      </c>
      <c r="F430" t="inlineStr">
        <is>
          <t>VÄRMLANDS LÄN</t>
        </is>
      </c>
      <c r="G430" t="inlineStr">
        <is>
          <t>SÄFFLE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59322-2025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46286</v>
      </c>
      <c r="F431" t="inlineStr">
        <is>
          <t>VÄRMLANDS LÄN</t>
        </is>
      </c>
      <c r="G431" t="inlineStr">
        <is>
          <t>SÄFFLE</t>
        </is>
      </c>
      <c r="I431" t="n">
        <v>11.1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46286</v>
      </c>
      <c r="F432" t="inlineStr">
        <is>
          <t>VÄRMLANDS LÄN</t>
        </is>
      </c>
      <c r="G432" t="inlineStr">
        <is>
          <t>SÄFFLE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20322-2025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45775</v>
      </c>
      <c r="E433" s="1" t="n">
        <v>46286</v>
      </c>
      <c r="F433" t="inlineStr">
        <is>
          <t>VÄRMLANDS LÄN</t>
        </is>
      </c>
      <c r="G433" t="inlineStr">
        <is>
          <t>SÄFFLE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45522</v>
      </c>
      <c r="E434" s="1" t="n">
        <v>46286</v>
      </c>
      <c r="F434" t="inlineStr">
        <is>
          <t>VÄRMLANDS LÄN</t>
        </is>
      </c>
      <c r="G434" t="inlineStr">
        <is>
          <t>SÄFFLE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46286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45356</v>
      </c>
      <c r="E436" s="1" t="n">
        <v>46286</v>
      </c>
      <c r="F436" t="inlineStr">
        <is>
          <t>VÄRMLANDS LÄN</t>
        </is>
      </c>
      <c r="G436" t="inlineStr">
        <is>
          <t>SÄFFLE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45352</v>
      </c>
      <c r="E437" s="1" t="n">
        <v>46286</v>
      </c>
      <c r="F437" t="inlineStr">
        <is>
          <t>VÄRMLANDS LÄN</t>
        </is>
      </c>
      <c r="G437" t="inlineStr">
        <is>
          <t>SÄFFLE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24009-2026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46286</v>
      </c>
      <c r="F438" t="inlineStr">
        <is>
          <t>VÄRMLANDS LÄN</t>
        </is>
      </c>
      <c r="G438" t="inlineStr">
        <is>
          <t>SÄFFLE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62119-2025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46006</v>
      </c>
      <c r="E439" s="1" t="n">
        <v>46286</v>
      </c>
      <c r="F439" t="inlineStr">
        <is>
          <t>VÄRMLANDS LÄN</t>
        </is>
      </c>
      <c r="G439" t="inlineStr">
        <is>
          <t>SÄFFLE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45433</v>
      </c>
      <c r="E440" s="1" t="n">
        <v>46286</v>
      </c>
      <c r="F440" t="inlineStr">
        <is>
          <t>VÄRMLANDS LÄN</t>
        </is>
      </c>
      <c r="G440" t="inlineStr">
        <is>
          <t>SÄFFLE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45044</v>
      </c>
      <c r="E441" s="1" t="n">
        <v>46286</v>
      </c>
      <c r="F441" t="inlineStr">
        <is>
          <t>VÄRMLANDS LÄN</t>
        </is>
      </c>
      <c r="G441" t="inlineStr">
        <is>
          <t>SÄFFLE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46286</v>
      </c>
      <c r="F442" t="inlineStr">
        <is>
          <t>VÄRMLANDS LÄN</t>
        </is>
      </c>
      <c r="G442" t="inlineStr">
        <is>
          <t>SÄFFLE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46286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19385-2024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45428</v>
      </c>
      <c r="E444" s="1" t="n">
        <v>46286</v>
      </c>
      <c r="F444" t="inlineStr">
        <is>
          <t>VÄRMLANDS LÄN</t>
        </is>
      </c>
      <c r="G444" t="inlineStr">
        <is>
          <t>SÄFFLE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45548</v>
      </c>
      <c r="E445" s="1" t="n">
        <v>46286</v>
      </c>
      <c r="F445" t="inlineStr">
        <is>
          <t>VÄRMLANDS LÄN</t>
        </is>
      </c>
      <c r="G445" t="inlineStr">
        <is>
          <t>SÄFFLE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21075-2024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45439</v>
      </c>
      <c r="E446" s="1" t="n">
        <v>46286</v>
      </c>
      <c r="F446" t="inlineStr">
        <is>
          <t>VÄRMLANDS LÄN</t>
        </is>
      </c>
      <c r="G446" t="inlineStr">
        <is>
          <t>SÄFFLE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45313</v>
      </c>
      <c r="E447" s="1" t="n">
        <v>46286</v>
      </c>
      <c r="F447" t="inlineStr">
        <is>
          <t>VÄRMLANDS LÄN</t>
        </is>
      </c>
      <c r="G447" t="inlineStr">
        <is>
          <t>SÄFFLE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46286</v>
      </c>
      <c r="F448" t="inlineStr">
        <is>
          <t>VÄRMLANDS LÄN</t>
        </is>
      </c>
      <c r="G448" t="inlineStr">
        <is>
          <t>SÄFFLE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45021</v>
      </c>
      <c r="E449" s="1" t="n">
        <v>46286</v>
      </c>
      <c r="F449" t="inlineStr">
        <is>
          <t>VÄRMLANDS LÄN</t>
        </is>
      </c>
      <c r="G449" t="inlineStr">
        <is>
          <t>SÄFFLE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46286</v>
      </c>
      <c r="F450" t="inlineStr">
        <is>
          <t>VÄRMLANDS LÄN</t>
        </is>
      </c>
      <c r="G450" t="inlineStr">
        <is>
          <t>SÄFFLE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46286</v>
      </c>
      <c r="F451" t="inlineStr">
        <is>
          <t>VÄRMLANDS LÄN</t>
        </is>
      </c>
      <c r="G451" t="inlineStr">
        <is>
          <t>SÄFFLE</t>
        </is>
      </c>
      <c r="H451" t="inlineStr">
        <is>
          <t>Kommuner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63673-2021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44509</v>
      </c>
      <c r="E452" s="1" t="n">
        <v>46286</v>
      </c>
      <c r="F452" t="inlineStr">
        <is>
          <t>VÄRMLANDS LÄN</t>
        </is>
      </c>
      <c r="G452" t="inlineStr">
        <is>
          <t>SÄFFLE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46286</v>
      </c>
      <c r="F453" t="inlineStr">
        <is>
          <t>VÄRMLANDS LÄN</t>
        </is>
      </c>
      <c r="G453" t="inlineStr">
        <is>
          <t>SÄFFLE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46286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46286</v>
      </c>
      <c r="F455" t="inlineStr">
        <is>
          <t>VÄRMLANDS LÄN</t>
        </is>
      </c>
      <c r="G455" t="inlineStr">
        <is>
          <t>SÄFFLE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46286</v>
      </c>
      <c r="F456" t="inlineStr">
        <is>
          <t>VÄRMLANDS LÄN</t>
        </is>
      </c>
      <c r="G456" t="inlineStr">
        <is>
          <t>SÄFFLE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46286</v>
      </c>
      <c r="F457" t="inlineStr">
        <is>
          <t>VÄRMLANDS LÄN</t>
        </is>
      </c>
      <c r="G457" t="inlineStr">
        <is>
          <t>SÄFFLE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46286</v>
      </c>
      <c r="F458" t="inlineStr">
        <is>
          <t>VÄRMLANDS LÄN</t>
        </is>
      </c>
      <c r="G458" t="inlineStr">
        <is>
          <t>SÄFFLE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46286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45266</v>
      </c>
      <c r="E460" s="1" t="n">
        <v>46286</v>
      </c>
      <c r="F460" t="inlineStr">
        <is>
          <t>VÄRMLANDS LÄN</t>
        </is>
      </c>
      <c r="G460" t="inlineStr">
        <is>
          <t>SÄFFLE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46286</v>
      </c>
      <c r="F461" t="inlineStr">
        <is>
          <t>VÄRMLANDS LÄN</t>
        </is>
      </c>
      <c r="G461" t="inlineStr">
        <is>
          <t>SÄFFLE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46286</v>
      </c>
      <c r="F462" t="inlineStr">
        <is>
          <t>VÄRMLANDS LÄN</t>
        </is>
      </c>
      <c r="G462" t="inlineStr">
        <is>
          <t>SÄFFLE</t>
        </is>
      </c>
      <c r="H462" t="inlineStr">
        <is>
          <t>Kyrkan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46286</v>
      </c>
      <c r="F463" t="inlineStr">
        <is>
          <t>VÄRMLANDS LÄN</t>
        </is>
      </c>
      <c r="G463" t="inlineStr">
        <is>
          <t>SÄFFLE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46286</v>
      </c>
      <c r="F464" t="inlineStr">
        <is>
          <t>VÄRMLANDS LÄN</t>
        </is>
      </c>
      <c r="G464" t="inlineStr">
        <is>
          <t>SÄFFLE</t>
        </is>
      </c>
      <c r="H464" t="inlineStr">
        <is>
          <t>Kommuner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45156</v>
      </c>
      <c r="E465" s="1" t="n">
        <v>46286</v>
      </c>
      <c r="F465" t="inlineStr">
        <is>
          <t>VÄRMLANDS LÄN</t>
        </is>
      </c>
      <c r="G465" t="inlineStr">
        <is>
          <t>SÄFFLE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46286</v>
      </c>
      <c r="F466" t="inlineStr">
        <is>
          <t>VÄRMLANDS LÄN</t>
        </is>
      </c>
      <c r="G466" t="inlineStr">
        <is>
          <t>SÄFFLE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46286</v>
      </c>
      <c r="F467" t="inlineStr">
        <is>
          <t>VÄRMLANDS LÄN</t>
        </is>
      </c>
      <c r="G467" t="inlineStr">
        <is>
          <t>SÄFFLE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46286</v>
      </c>
      <c r="F468" t="inlineStr">
        <is>
          <t>VÄRMLANDS LÄN</t>
        </is>
      </c>
      <c r="G468" t="inlineStr">
        <is>
          <t>SÄFFLE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52081-2022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44868</v>
      </c>
      <c r="E469" s="1" t="n">
        <v>46286</v>
      </c>
      <c r="F469" t="inlineStr">
        <is>
          <t>VÄRMLANDS LÄN</t>
        </is>
      </c>
      <c r="G469" t="inlineStr">
        <is>
          <t>SÄFFLE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46286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45191</v>
      </c>
      <c r="E471" s="1" t="n">
        <v>46286</v>
      </c>
      <c r="F471" t="inlineStr">
        <is>
          <t>VÄRMLANDS LÄN</t>
        </is>
      </c>
      <c r="G471" t="inlineStr">
        <is>
          <t>SÄFFLE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73662-2021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44552</v>
      </c>
      <c r="E472" s="1" t="n">
        <v>46286</v>
      </c>
      <c r="F472" t="inlineStr">
        <is>
          <t>VÄRMLANDS LÄN</t>
        </is>
      </c>
      <c r="G472" t="inlineStr">
        <is>
          <t>SÄFFLE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46286</v>
      </c>
      <c r="F473" t="inlineStr">
        <is>
          <t>VÄRMLANDS LÄN</t>
        </is>
      </c>
      <c r="G473" t="inlineStr">
        <is>
          <t>SÄFFLE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45062</v>
      </c>
      <c r="E474" s="1" t="n">
        <v>46286</v>
      </c>
      <c r="F474" t="inlineStr">
        <is>
          <t>VÄRMLANDS LÄN</t>
        </is>
      </c>
      <c r="G474" t="inlineStr">
        <is>
          <t>SÄFFLE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52099-2021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46286</v>
      </c>
      <c r="F475" t="inlineStr">
        <is>
          <t>VÄRMLANDS LÄN</t>
        </is>
      </c>
      <c r="G475" t="inlineStr">
        <is>
          <t>SÄFFLE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46286</v>
      </c>
      <c r="F476" t="inlineStr">
        <is>
          <t>VÄRMLANDS LÄN</t>
        </is>
      </c>
      <c r="G476" t="inlineStr">
        <is>
          <t>SÄFFLE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4286-2026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46045</v>
      </c>
      <c r="E477" s="1" t="n">
        <v>46286</v>
      </c>
      <c r="F477" t="inlineStr">
        <is>
          <t>VÄRMLANDS LÄN</t>
        </is>
      </c>
      <c r="G477" t="inlineStr">
        <is>
          <t>SÄFFLE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46286</v>
      </c>
      <c r="F478" t="inlineStr">
        <is>
          <t>VÄRMLANDS LÄN</t>
        </is>
      </c>
      <c r="G478" t="inlineStr">
        <is>
          <t>SÄFFLE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46045</v>
      </c>
      <c r="E479" s="1" t="n">
        <v>46286</v>
      </c>
      <c r="F479" t="inlineStr">
        <is>
          <t>VÄRMLANDS LÄN</t>
        </is>
      </c>
      <c r="G479" t="inlineStr">
        <is>
          <t>SÄFFLE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56506-2023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46286</v>
      </c>
      <c r="F480" t="inlineStr">
        <is>
          <t>VÄRMLANDS LÄN</t>
        </is>
      </c>
      <c r="G480" t="inlineStr">
        <is>
          <t>SÄFFLE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7602-2024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45348</v>
      </c>
      <c r="E481" s="1" t="n">
        <v>46286</v>
      </c>
      <c r="F481" t="inlineStr">
        <is>
          <t>VÄRMLANDS LÄN</t>
        </is>
      </c>
      <c r="G481" t="inlineStr">
        <is>
          <t>SÄFFLE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46046</v>
      </c>
      <c r="E482" s="1" t="n">
        <v>46286</v>
      </c>
      <c r="F482" t="inlineStr">
        <is>
          <t>VÄRMLANDS LÄN</t>
        </is>
      </c>
      <c r="G482" t="inlineStr">
        <is>
          <t>SÄFFLE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25326-2026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46176</v>
      </c>
      <c r="E483" s="1" t="n">
        <v>46286</v>
      </c>
      <c r="F483" t="inlineStr">
        <is>
          <t>VÄRMLANDS LÄN</t>
        </is>
      </c>
      <c r="G483" t="inlineStr">
        <is>
          <t>SÄFFLE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46046</v>
      </c>
      <c r="E484" s="1" t="n">
        <v>46286</v>
      </c>
      <c r="F484" t="inlineStr">
        <is>
          <t>VÄRMLANDS LÄN</t>
        </is>
      </c>
      <c r="G484" t="inlineStr">
        <is>
          <t>SÄFFLE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60073-2022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46286</v>
      </c>
      <c r="F485" t="inlineStr">
        <is>
          <t>VÄRMLANDS LÄN</t>
        </is>
      </c>
      <c r="G485" t="inlineStr">
        <is>
          <t>SÄFFLE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46286</v>
      </c>
      <c r="F486" t="inlineStr">
        <is>
          <t>VÄRMLANDS LÄN</t>
        </is>
      </c>
      <c r="G486" t="inlineStr">
        <is>
          <t>SÄFFLE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46286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42377-2024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45564</v>
      </c>
      <c r="E488" s="1" t="n">
        <v>46286</v>
      </c>
      <c r="F488" t="inlineStr">
        <is>
          <t>VÄRMLANDS LÄN</t>
        </is>
      </c>
      <c r="G488" t="inlineStr">
        <is>
          <t>SÄFFLE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46286</v>
      </c>
      <c r="F489" t="inlineStr">
        <is>
          <t>VÄRMLANDS LÄN</t>
        </is>
      </c>
      <c r="G489" t="inlineStr">
        <is>
          <t>SÄFFLE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46286</v>
      </c>
      <c r="F490" t="inlineStr">
        <is>
          <t>VÄRMLANDS LÄN</t>
        </is>
      </c>
      <c r="G490" t="inlineStr">
        <is>
          <t>SÄFFLE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25142-2023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45078</v>
      </c>
      <c r="E491" s="1" t="n">
        <v>46286</v>
      </c>
      <c r="F491" t="inlineStr">
        <is>
          <t>VÄRMLANDS LÄN</t>
        </is>
      </c>
      <c r="G491" t="inlineStr">
        <is>
          <t>SÄFFLE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46286</v>
      </c>
      <c r="F492" t="inlineStr">
        <is>
          <t>VÄRMLANDS LÄN</t>
        </is>
      </c>
      <c r="G492" t="inlineStr">
        <is>
          <t>SÄFFLE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40799-2022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44824</v>
      </c>
      <c r="E493" s="1" t="n">
        <v>46286</v>
      </c>
      <c r="F493" t="inlineStr">
        <is>
          <t>VÄRMLANDS LÄN</t>
        </is>
      </c>
      <c r="G493" t="inlineStr">
        <is>
          <t>SÄFFLE</t>
        </is>
      </c>
      <c r="I493" t="n">
        <v>11.4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46286</v>
      </c>
      <c r="F494" t="inlineStr">
        <is>
          <t>VÄRMLANDS LÄN</t>
        </is>
      </c>
      <c r="G494" t="inlineStr">
        <is>
          <t>SÄFFLE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46286</v>
      </c>
      <c r="F495" t="inlineStr">
        <is>
          <t>VÄRMLANDS LÄN</t>
        </is>
      </c>
      <c r="G495" t="inlineStr">
        <is>
          <t>SÄFFLE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44603</v>
      </c>
      <c r="E496" s="1" t="n">
        <v>46286</v>
      </c>
      <c r="F496" t="inlineStr">
        <is>
          <t>VÄRMLANDS LÄN</t>
        </is>
      </c>
      <c r="G496" t="inlineStr">
        <is>
          <t>SÄFFLE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61677-2021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44501</v>
      </c>
      <c r="E497" s="1" t="n">
        <v>46286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46286</v>
      </c>
      <c r="F498" t="inlineStr">
        <is>
          <t>VÄRMLANDS LÄN</t>
        </is>
      </c>
      <c r="G498" t="inlineStr">
        <is>
          <t>SÄFFLE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14644-2023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46286</v>
      </c>
      <c r="F499" t="inlineStr">
        <is>
          <t>VÄRMLANDS LÄN</t>
        </is>
      </c>
      <c r="G499" t="inlineStr">
        <is>
          <t>SÄFFLE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33245-2023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45127</v>
      </c>
      <c r="E500" s="1" t="n">
        <v>46286</v>
      </c>
      <c r="F500" t="inlineStr">
        <is>
          <t>VÄRMLANDS LÄN</t>
        </is>
      </c>
      <c r="G500" t="inlineStr">
        <is>
          <t>SÄFFLE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46286</v>
      </c>
      <c r="F501" t="inlineStr">
        <is>
          <t>VÄRMLANDS LÄN</t>
        </is>
      </c>
      <c r="G501" t="inlineStr">
        <is>
          <t>SÄFFLE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10223-2025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45720</v>
      </c>
      <c r="E502" s="1" t="n">
        <v>46286</v>
      </c>
      <c r="F502" t="inlineStr">
        <is>
          <t>VÄRMLANDS LÄN</t>
        </is>
      </c>
      <c r="G502" t="inlineStr">
        <is>
          <t>SÄFFLE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45583</v>
      </c>
      <c r="E503" s="1" t="n">
        <v>46286</v>
      </c>
      <c r="F503" t="inlineStr">
        <is>
          <t>VÄRMLANDS LÄN</t>
        </is>
      </c>
      <c r="G503" t="inlineStr">
        <is>
          <t>SÄFFLE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45355</v>
      </c>
      <c r="E504" s="1" t="n">
        <v>46286</v>
      </c>
      <c r="F504" t="inlineStr">
        <is>
          <t>VÄRMLANDS LÄN</t>
        </is>
      </c>
      <c r="G504" t="inlineStr">
        <is>
          <t>SÄFFLE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46286</v>
      </c>
      <c r="F505" t="inlineStr">
        <is>
          <t>VÄRMLANDS LÄN</t>
        </is>
      </c>
      <c r="G505" t="inlineStr">
        <is>
          <t>SÄFFLE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46286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45171</v>
      </c>
      <c r="E507" s="1" t="n">
        <v>46286</v>
      </c>
      <c r="F507" t="inlineStr">
        <is>
          <t>VÄRMLANDS LÄN</t>
        </is>
      </c>
      <c r="G507" t="inlineStr">
        <is>
          <t>SÄFFLE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46286</v>
      </c>
      <c r="F508" t="inlineStr">
        <is>
          <t>VÄRMLANDS LÄN</t>
        </is>
      </c>
      <c r="G508" t="inlineStr">
        <is>
          <t>SÄFFLE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46073</v>
      </c>
      <c r="E509" s="1" t="n">
        <v>46286</v>
      </c>
      <c r="F509" t="inlineStr">
        <is>
          <t>VÄRMLANDS LÄN</t>
        </is>
      </c>
      <c r="G509" t="inlineStr">
        <is>
          <t>SÄFFLE</t>
        </is>
      </c>
      <c r="I509" t="n">
        <v>12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45721</v>
      </c>
      <c r="E510" s="1" t="n">
        <v>46286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58067-2024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45631</v>
      </c>
      <c r="E511" s="1" t="n">
        <v>46286</v>
      </c>
      <c r="F511" t="inlineStr">
        <is>
          <t>VÄRMLANDS LÄN</t>
        </is>
      </c>
      <c r="G511" t="inlineStr">
        <is>
          <t>SÄFFLE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47037-2024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45586</v>
      </c>
      <c r="E512" s="1" t="n">
        <v>46286</v>
      </c>
      <c r="F512" t="inlineStr">
        <is>
          <t>VÄRMLANDS LÄN</t>
        </is>
      </c>
      <c r="G512" t="inlineStr">
        <is>
          <t>SÄFFLE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46286</v>
      </c>
      <c r="F513" t="inlineStr">
        <is>
          <t>VÄRMLANDS LÄN</t>
        </is>
      </c>
      <c r="G513" t="inlineStr">
        <is>
          <t>SÄFFLE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45068</v>
      </c>
      <c r="E514" s="1" t="n">
        <v>46286</v>
      </c>
      <c r="F514" t="inlineStr">
        <is>
          <t>VÄRMLANDS LÄN</t>
        </is>
      </c>
      <c r="G514" t="inlineStr">
        <is>
          <t>SÄFFLE</t>
        </is>
      </c>
      <c r="I514" t="n">
        <v>11.8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46286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46286</v>
      </c>
      <c r="F516" t="inlineStr">
        <is>
          <t>VÄRMLANDS LÄN</t>
        </is>
      </c>
      <c r="G516" t="inlineStr">
        <is>
          <t>SÄFFLE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46286</v>
      </c>
      <c r="F517" t="inlineStr">
        <is>
          <t>VÄRMLANDS LÄN</t>
        </is>
      </c>
      <c r="G517" t="inlineStr">
        <is>
          <t>SÄFFLE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46286</v>
      </c>
      <c r="F518" t="inlineStr">
        <is>
          <t>VÄRMLANDS LÄN</t>
        </is>
      </c>
      <c r="G518" t="inlineStr">
        <is>
          <t>SÄFFLE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45070</v>
      </c>
      <c r="E519" s="1" t="n">
        <v>46286</v>
      </c>
      <c r="F519" t="inlineStr">
        <is>
          <t>VÄRMLANDS LÄN</t>
        </is>
      </c>
      <c r="G519" t="inlineStr">
        <is>
          <t>SÄFFLE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46286</v>
      </c>
      <c r="F520" t="inlineStr">
        <is>
          <t>VÄRMLANDS LÄN</t>
        </is>
      </c>
      <c r="G520" t="inlineStr">
        <is>
          <t>SÄFFLE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46286</v>
      </c>
      <c r="F521" t="inlineStr">
        <is>
          <t>VÄRMLANDS LÄN</t>
        </is>
      </c>
      <c r="G521" t="inlineStr">
        <is>
          <t>SÄFFLE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46286</v>
      </c>
      <c r="F522" t="inlineStr">
        <is>
          <t>VÄRMLANDS LÄN</t>
        </is>
      </c>
      <c r="G522" t="inlineStr">
        <is>
          <t>SÄFFLE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44745</v>
      </c>
      <c r="E523" s="1" t="n">
        <v>46286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46286</v>
      </c>
      <c r="F524" t="inlineStr">
        <is>
          <t>VÄRMLANDS LÄN</t>
        </is>
      </c>
      <c r="G524" t="inlineStr">
        <is>
          <t>SÄFFLE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46083</v>
      </c>
      <c r="E525" s="1" t="n">
        <v>46286</v>
      </c>
      <c r="F525" t="inlineStr">
        <is>
          <t>VÄRMLANDS LÄN</t>
        </is>
      </c>
      <c r="G525" t="inlineStr">
        <is>
          <t>SÄFFLE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46286</v>
      </c>
      <c r="F526" t="inlineStr">
        <is>
          <t>VÄRMLANDS LÄN</t>
        </is>
      </c>
      <c r="G526" t="inlineStr">
        <is>
          <t>SÄFFLE</t>
        </is>
      </c>
      <c r="I526" t="n">
        <v>7.9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46286</v>
      </c>
      <c r="F527" t="inlineStr">
        <is>
          <t>VÄRMLANDS LÄN</t>
        </is>
      </c>
      <c r="G527" t="inlineStr">
        <is>
          <t>SÄFFLE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46286</v>
      </c>
      <c r="F528" t="inlineStr">
        <is>
          <t>VÄRMLANDS LÄN</t>
        </is>
      </c>
      <c r="G528" t="inlineStr">
        <is>
          <t>SÄFFLE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12187-2026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46086</v>
      </c>
      <c r="E529" s="1" t="n">
        <v>46286</v>
      </c>
      <c r="F529" t="inlineStr">
        <is>
          <t>VÄRMLANDS LÄN</t>
        </is>
      </c>
      <c r="G529" t="inlineStr">
        <is>
          <t>SÄFFLE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10649-2024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45368</v>
      </c>
      <c r="E530" s="1" t="n">
        <v>46286</v>
      </c>
      <c r="F530" t="inlineStr">
        <is>
          <t>VÄRMLANDS LÄN</t>
        </is>
      </c>
      <c r="G530" t="inlineStr">
        <is>
          <t>SÄFFLE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45454</v>
      </c>
      <c r="E531" s="1" t="n">
        <v>46286</v>
      </c>
      <c r="F531" t="inlineStr">
        <is>
          <t>VÄRMLANDS LÄN</t>
        </is>
      </c>
      <c r="G531" t="inlineStr">
        <is>
          <t>SÄFFLE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46286</v>
      </c>
      <c r="F532" t="inlineStr">
        <is>
          <t>VÄRMLANDS LÄN</t>
        </is>
      </c>
      <c r="G532" t="inlineStr">
        <is>
          <t>SÄFFLE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12268-2026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46286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46286</v>
      </c>
      <c r="F534" t="inlineStr">
        <is>
          <t>VÄRMLANDS LÄN</t>
        </is>
      </c>
      <c r="G534" t="inlineStr">
        <is>
          <t>SÄFFLE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45098</v>
      </c>
      <c r="E535" s="1" t="n">
        <v>46286</v>
      </c>
      <c r="F535" t="inlineStr">
        <is>
          <t>VÄRMLANDS LÄN</t>
        </is>
      </c>
      <c r="G535" t="inlineStr">
        <is>
          <t>SÄFFLE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46286</v>
      </c>
      <c r="F536" t="inlineStr">
        <is>
          <t>VÄRMLANDS LÄN</t>
        </is>
      </c>
      <c r="G536" t="inlineStr">
        <is>
          <t>SÄFFLE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49979-2024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45597</v>
      </c>
      <c r="E537" s="1" t="n">
        <v>46286</v>
      </c>
      <c r="F537" t="inlineStr">
        <is>
          <t>VÄRMLANDS LÄN</t>
        </is>
      </c>
      <c r="G537" t="inlineStr">
        <is>
          <t>SÄFFLE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45597</v>
      </c>
      <c r="E538" s="1" t="n">
        <v>46286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46087</v>
      </c>
      <c r="E539" s="1" t="n">
        <v>46286</v>
      </c>
      <c r="F539" t="inlineStr">
        <is>
          <t>VÄRMLANDS LÄN</t>
        </is>
      </c>
      <c r="G539" t="inlineStr">
        <is>
          <t>SÄFFLE</t>
        </is>
      </c>
      <c r="I539" t="n">
        <v>12.7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46087</v>
      </c>
      <c r="E540" s="1" t="n">
        <v>46286</v>
      </c>
      <c r="F540" t="inlineStr">
        <is>
          <t>VÄRMLANDS LÄN</t>
        </is>
      </c>
      <c r="G540" t="inlineStr">
        <is>
          <t>SÄFFLE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46286</v>
      </c>
      <c r="F541" t="inlineStr">
        <is>
          <t>VÄRMLANDS LÄN</t>
        </is>
      </c>
      <c r="G541" t="inlineStr">
        <is>
          <t>SÄFFLE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44861</v>
      </c>
      <c r="E542" s="1" t="n">
        <v>46286</v>
      </c>
      <c r="F542" t="inlineStr">
        <is>
          <t>VÄRMLANDS LÄN</t>
        </is>
      </c>
      <c r="G542" t="inlineStr">
        <is>
          <t>SÄFFLE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46286</v>
      </c>
      <c r="F543" t="inlineStr">
        <is>
          <t>VÄRMLANDS LÄN</t>
        </is>
      </c>
      <c r="G543" t="inlineStr">
        <is>
          <t>SÄFFLE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59355-2025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45989</v>
      </c>
      <c r="E544" s="1" t="n">
        <v>46286</v>
      </c>
      <c r="F544" t="inlineStr">
        <is>
          <t>VÄRMLANDS LÄN</t>
        </is>
      </c>
      <c r="G544" t="inlineStr">
        <is>
          <t>SÄFFLE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44763</v>
      </c>
      <c r="E545" s="1" t="n">
        <v>46286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64368-2023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46286</v>
      </c>
      <c r="F546" t="inlineStr">
        <is>
          <t>VÄRMLANDS LÄN</t>
        </is>
      </c>
      <c r="G546" t="inlineStr">
        <is>
          <t>SÄFFLE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12987-2026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46092</v>
      </c>
      <c r="E547" s="1" t="n">
        <v>46286</v>
      </c>
      <c r="F547" t="inlineStr">
        <is>
          <t>VÄRMLANDS LÄN</t>
        </is>
      </c>
      <c r="G547" t="inlineStr">
        <is>
          <t>SÄFFLE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46286</v>
      </c>
      <c r="F548" t="inlineStr">
        <is>
          <t>VÄRMLANDS LÄN</t>
        </is>
      </c>
      <c r="G548" t="inlineStr">
        <is>
          <t>SÄFFLE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45495</v>
      </c>
      <c r="E549" s="1" t="n">
        <v>46286</v>
      </c>
      <c r="F549" t="inlineStr">
        <is>
          <t>VÄRMLANDS LÄN</t>
        </is>
      </c>
      <c r="G549" t="inlineStr">
        <is>
          <t>SÄFFLE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46286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13051-2026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46286</v>
      </c>
      <c r="F551" t="inlineStr">
        <is>
          <t>VÄRMLANDS LÄN</t>
        </is>
      </c>
      <c r="G551" t="inlineStr">
        <is>
          <t>SÄFFLE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44973-2024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45575</v>
      </c>
      <c r="E552" s="1" t="n">
        <v>46286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49520-2023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46286</v>
      </c>
      <c r="F553" t="inlineStr">
        <is>
          <t>VÄRMLANDS LÄN</t>
        </is>
      </c>
      <c r="G553" t="inlineStr">
        <is>
          <t>SÄFFLE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49528-2023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46286</v>
      </c>
      <c r="F554" t="inlineStr">
        <is>
          <t>VÄRMLANDS LÄN</t>
        </is>
      </c>
      <c r="G554" t="inlineStr">
        <is>
          <t>SÄFFLE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58105-2021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44487</v>
      </c>
      <c r="E555" s="1" t="n">
        <v>46286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45516</v>
      </c>
      <c r="E556" s="1" t="n">
        <v>46286</v>
      </c>
      <c r="F556" t="inlineStr">
        <is>
          <t>VÄRMLANDS LÄN</t>
        </is>
      </c>
      <c r="G556" t="inlineStr">
        <is>
          <t>SÄFFLE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32751-2024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45516</v>
      </c>
      <c r="E557" s="1" t="n">
        <v>46286</v>
      </c>
      <c r="F557" t="inlineStr">
        <is>
          <t>VÄRMLANDS LÄN</t>
        </is>
      </c>
      <c r="G557" t="inlineStr">
        <is>
          <t>SÄFFLE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56452-2023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46286</v>
      </c>
      <c r="F558" t="inlineStr">
        <is>
          <t>VÄRMLANDS LÄN</t>
        </is>
      </c>
      <c r="G558" t="inlineStr">
        <is>
          <t>SÄFFLE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46286</v>
      </c>
      <c r="F559" t="inlineStr">
        <is>
          <t>VÄRMLANDS LÄN</t>
        </is>
      </c>
      <c r="G559" t="inlineStr">
        <is>
          <t>SÄFFLE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14728-2026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46286</v>
      </c>
      <c r="F560" t="inlineStr">
        <is>
          <t>VÄRMLANDS LÄN</t>
        </is>
      </c>
      <c r="G560" t="inlineStr">
        <is>
          <t>SÄFFLE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14994-2026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46104</v>
      </c>
      <c r="E561" s="1" t="n">
        <v>46286</v>
      </c>
      <c r="F561" t="inlineStr">
        <is>
          <t>VÄRMLANDS LÄN</t>
        </is>
      </c>
      <c r="G561" t="inlineStr">
        <is>
          <t>SÄFFLE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46286</v>
      </c>
      <c r="F562" t="inlineStr">
        <is>
          <t>VÄRMLANDS LÄN</t>
        </is>
      </c>
      <c r="G562" t="inlineStr">
        <is>
          <t>SÄFFLE</t>
        </is>
      </c>
      <c r="I562" t="n">
        <v>10.6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53440-2023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45223</v>
      </c>
      <c r="E563" s="1" t="n">
        <v>46286</v>
      </c>
      <c r="F563" t="inlineStr">
        <is>
          <t>VÄRMLANDS LÄN</t>
        </is>
      </c>
      <c r="G563" t="inlineStr">
        <is>
          <t>SÄFFLE</t>
        </is>
      </c>
      <c r="I563" t="n">
        <v>19.1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46286</v>
      </c>
      <c r="F564" t="inlineStr">
        <is>
          <t>VÄRMLANDS LÄN</t>
        </is>
      </c>
      <c r="G564" t="inlineStr">
        <is>
          <t>SÄFFLE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63858-2021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44509</v>
      </c>
      <c r="E565" s="1" t="n">
        <v>46286</v>
      </c>
      <c r="F565" t="inlineStr">
        <is>
          <t>VÄRMLANDS LÄN</t>
        </is>
      </c>
      <c r="G565" t="inlineStr">
        <is>
          <t>SÄFFLE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15234-2026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46286</v>
      </c>
      <c r="F566" t="inlineStr">
        <is>
          <t>VÄRMLANDS LÄN</t>
        </is>
      </c>
      <c r="G566" t="inlineStr">
        <is>
          <t>SÄFFLE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46286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16066-2026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46108</v>
      </c>
      <c r="E568" s="1" t="n">
        <v>46286</v>
      </c>
      <c r="F568" t="inlineStr">
        <is>
          <t>VÄRMLANDS LÄN</t>
        </is>
      </c>
      <c r="G568" t="inlineStr">
        <is>
          <t>SÄFFLE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46286</v>
      </c>
      <c r="F569" t="inlineStr">
        <is>
          <t>VÄRMLANDS LÄN</t>
        </is>
      </c>
      <c r="G569" t="inlineStr">
        <is>
          <t>SÄFFLE</t>
        </is>
      </c>
      <c r="H569" t="inlineStr">
        <is>
          <t>Kommuner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16337-2026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46286</v>
      </c>
      <c r="F570" t="inlineStr">
        <is>
          <t>VÄRMLANDS LÄN</t>
        </is>
      </c>
      <c r="G570" t="inlineStr">
        <is>
          <t>SÄFFLE</t>
        </is>
      </c>
      <c r="H570" t="inlineStr">
        <is>
          <t>Kommuner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45712</v>
      </c>
      <c r="E571" s="1" t="n">
        <v>46286</v>
      </c>
      <c r="F571" t="inlineStr">
        <is>
          <t>VÄRMLANDS LÄN</t>
        </is>
      </c>
      <c r="G571" t="inlineStr">
        <is>
          <t>SÄFFLE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45089</v>
      </c>
      <c r="E572" s="1" t="n">
        <v>46286</v>
      </c>
      <c r="F572" t="inlineStr">
        <is>
          <t>VÄRMLANDS LÄN</t>
        </is>
      </c>
      <c r="G572" t="inlineStr">
        <is>
          <t>SÄFFLE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53112-2022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44876</v>
      </c>
      <c r="E573" s="1" t="n">
        <v>46286</v>
      </c>
      <c r="F573" t="inlineStr">
        <is>
          <t>VÄRMLANDS LÄN</t>
        </is>
      </c>
      <c r="G573" t="inlineStr">
        <is>
          <t>SÄFFLE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46286</v>
      </c>
      <c r="F574" t="inlineStr">
        <is>
          <t>VÄRMLANDS LÄN</t>
        </is>
      </c>
      <c r="G574" t="inlineStr">
        <is>
          <t>SÄFFLE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17258-2026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46119</v>
      </c>
      <c r="E575" s="1" t="n">
        <v>46286</v>
      </c>
      <c r="F575" t="inlineStr">
        <is>
          <t>VÄRMLANDS LÄN</t>
        </is>
      </c>
      <c r="G575" t="inlineStr">
        <is>
          <t>SÄFFLE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45457</v>
      </c>
      <c r="E576" s="1" t="n">
        <v>46286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46120</v>
      </c>
      <c r="E577" s="1" t="n">
        <v>46286</v>
      </c>
      <c r="F577" t="inlineStr">
        <is>
          <t>VÄRMLANDS LÄN</t>
        </is>
      </c>
      <c r="G577" t="inlineStr">
        <is>
          <t>SÄFFLE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45341</v>
      </c>
      <c r="E578" s="1" t="n">
        <v>46286</v>
      </c>
      <c r="F578" t="inlineStr">
        <is>
          <t>VÄRMLANDS LÄN</t>
        </is>
      </c>
      <c r="G578" t="inlineStr">
        <is>
          <t>SÄFFLE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46122</v>
      </c>
      <c r="E579" s="1" t="n">
        <v>46286</v>
      </c>
      <c r="F579" t="inlineStr">
        <is>
          <t>VÄRMLANDS LÄN</t>
        </is>
      </c>
      <c r="G579" t="inlineStr">
        <is>
          <t>SÄFFLE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38764-2024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45547</v>
      </c>
      <c r="E580" s="1" t="n">
        <v>46286</v>
      </c>
      <c r="F580" t="inlineStr">
        <is>
          <t>VÄRMLANDS LÄN</t>
        </is>
      </c>
      <c r="G580" t="inlineStr">
        <is>
          <t>SÄFFLE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45707</v>
      </c>
      <c r="E581" s="1" t="n">
        <v>46286</v>
      </c>
      <c r="F581" t="inlineStr">
        <is>
          <t>VÄRMLANDS LÄN</t>
        </is>
      </c>
      <c r="G581" t="inlineStr">
        <is>
          <t>SÄFFLE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46286</v>
      </c>
      <c r="F582" t="inlineStr">
        <is>
          <t>VÄRMLANDS LÄN</t>
        </is>
      </c>
      <c r="G582" t="inlineStr">
        <is>
          <t>SÄFFLE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37422-2023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46286</v>
      </c>
      <c r="F583" t="inlineStr">
        <is>
          <t>VÄRMLANDS LÄN</t>
        </is>
      </c>
      <c r="G583" t="inlineStr">
        <is>
          <t>SÄFFLE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46286</v>
      </c>
      <c r="F584" t="inlineStr">
        <is>
          <t>VÄRMLANDS LÄN</t>
        </is>
      </c>
      <c r="G584" t="inlineStr">
        <is>
          <t>SÄFFLE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53832-2022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44880</v>
      </c>
      <c r="E585" s="1" t="n">
        <v>46286</v>
      </c>
      <c r="F585" t="inlineStr">
        <is>
          <t>VÄRMLANDS LÄN</t>
        </is>
      </c>
      <c r="G585" t="inlineStr">
        <is>
          <t>SÄFFLE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58639-2024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45635</v>
      </c>
      <c r="E586" s="1" t="n">
        <v>46286</v>
      </c>
      <c r="F586" t="inlineStr">
        <is>
          <t>VÄRMLANDS LÄN</t>
        </is>
      </c>
      <c r="G586" t="inlineStr">
        <is>
          <t>SÄFFLE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46286</v>
      </c>
      <c r="F587" t="inlineStr">
        <is>
          <t>VÄRMLANDS LÄN</t>
        </is>
      </c>
      <c r="G587" t="inlineStr">
        <is>
          <t>SÄFFLE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46286</v>
      </c>
      <c r="F588" t="inlineStr">
        <is>
          <t>VÄRMLANDS LÄN</t>
        </is>
      </c>
      <c r="G588" t="inlineStr">
        <is>
          <t>SÄFFLE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55847-2023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45233</v>
      </c>
      <c r="E589" s="1" t="n">
        <v>46286</v>
      </c>
      <c r="F589" t="inlineStr">
        <is>
          <t>VÄRMLANDS LÄN</t>
        </is>
      </c>
      <c r="G589" t="inlineStr">
        <is>
          <t>SÄFFLE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55090-2022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46286</v>
      </c>
      <c r="F590" t="inlineStr">
        <is>
          <t>VÄRMLANDS LÄN</t>
        </is>
      </c>
      <c r="G590" t="inlineStr">
        <is>
          <t>SÄFFLE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55094-2022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44886</v>
      </c>
      <c r="E591" s="1" t="n">
        <v>46286</v>
      </c>
      <c r="F591" t="inlineStr">
        <is>
          <t>VÄRMLANDS LÄN</t>
        </is>
      </c>
      <c r="G591" t="inlineStr">
        <is>
          <t>SÄFFLE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46286</v>
      </c>
      <c r="F592" t="inlineStr">
        <is>
          <t>VÄRMLANDS LÄN</t>
        </is>
      </c>
      <c r="G592" t="inlineStr">
        <is>
          <t>SÄFFLE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46286</v>
      </c>
      <c r="F593" t="inlineStr">
        <is>
          <t>VÄRMLANDS LÄN</t>
        </is>
      </c>
      <c r="G593" t="inlineStr">
        <is>
          <t>SÄFFLE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45474</v>
      </c>
      <c r="E594" s="1" t="n">
        <v>46286</v>
      </c>
      <c r="F594" t="inlineStr">
        <is>
          <t>VÄRMLANDS LÄN</t>
        </is>
      </c>
      <c r="G594" t="inlineStr">
        <is>
          <t>SÄFFLE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43766-2024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45569</v>
      </c>
      <c r="E595" s="1" t="n">
        <v>46286</v>
      </c>
      <c r="F595" t="inlineStr">
        <is>
          <t>VÄRMLANDS LÄN</t>
        </is>
      </c>
      <c r="G595" t="inlineStr">
        <is>
          <t>SÄFFLE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13438-2024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45387</v>
      </c>
      <c r="E596" s="1" t="n">
        <v>46286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21273-2025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45779</v>
      </c>
      <c r="E597" s="1" t="n">
        <v>46286</v>
      </c>
      <c r="F597" t="inlineStr">
        <is>
          <t>VÄRMLANDS LÄN</t>
        </is>
      </c>
      <c r="G597" t="inlineStr">
        <is>
          <t>SÄFFLE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67174-2021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44523</v>
      </c>
      <c r="E598" s="1" t="n">
        <v>46286</v>
      </c>
      <c r="F598" t="inlineStr">
        <is>
          <t>VÄRMLANDS LÄN</t>
        </is>
      </c>
      <c r="G598" t="inlineStr">
        <is>
          <t>SÄFFLE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44980</v>
      </c>
      <c r="E599" s="1" t="n">
        <v>46286</v>
      </c>
      <c r="F599" t="inlineStr">
        <is>
          <t>VÄRMLANDS LÄN</t>
        </is>
      </c>
      <c r="G599" t="inlineStr">
        <is>
          <t>SÄFFLE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7797-2025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45706</v>
      </c>
      <c r="E600" s="1" t="n">
        <v>46286</v>
      </c>
      <c r="F600" t="inlineStr">
        <is>
          <t>VÄRMLANDS LÄN</t>
        </is>
      </c>
      <c r="G600" t="inlineStr">
        <is>
          <t>SÄFFLE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4249-2025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45685</v>
      </c>
      <c r="E601" s="1" t="n">
        <v>46286</v>
      </c>
      <c r="F601" t="inlineStr">
        <is>
          <t>VÄRMLANDS LÄN</t>
        </is>
      </c>
      <c r="G601" t="inlineStr">
        <is>
          <t>SÄFFLE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46286</v>
      </c>
      <c r="F602" t="inlineStr">
        <is>
          <t>VÄRMLANDS LÄN</t>
        </is>
      </c>
      <c r="G602" t="inlineStr">
        <is>
          <t>SÄFFLE</t>
        </is>
      </c>
      <c r="I602" t="n">
        <v>11.4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46286</v>
      </c>
      <c r="F603" t="inlineStr">
        <is>
          <t>VÄRMLANDS LÄN</t>
        </is>
      </c>
      <c r="G603" t="inlineStr">
        <is>
          <t>SÄFFLE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20318-2026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46139</v>
      </c>
      <c r="E604" s="1" t="n">
        <v>46286</v>
      </c>
      <c r="F604" t="inlineStr">
        <is>
          <t>VÄRMLANDS LÄN</t>
        </is>
      </c>
      <c r="G604" t="inlineStr">
        <is>
          <t>SÄFFLE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54367-2022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44879</v>
      </c>
      <c r="E605" s="1" t="n">
        <v>46286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44952</v>
      </c>
      <c r="E606" s="1" t="n">
        <v>46286</v>
      </c>
      <c r="F606" t="inlineStr">
        <is>
          <t>VÄRMLANDS LÄN</t>
        </is>
      </c>
      <c r="G606" t="inlineStr">
        <is>
          <t>SÄFFLE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30976-2025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46286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26534-2025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45807</v>
      </c>
      <c r="E608" s="1" t="n">
        <v>46286</v>
      </c>
      <c r="F608" t="inlineStr">
        <is>
          <t>VÄRMLANDS LÄN</t>
        </is>
      </c>
      <c r="G608" t="inlineStr">
        <is>
          <t>SÄFFLE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26537-2025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45807</v>
      </c>
      <c r="E609" s="1" t="n">
        <v>46286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44572</v>
      </c>
      <c r="E610" s="1" t="n">
        <v>46286</v>
      </c>
      <c r="F610" t="inlineStr">
        <is>
          <t>VÄRMLANDS LÄN</t>
        </is>
      </c>
      <c r="G610" t="inlineStr">
        <is>
          <t>SÄFFLE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45912</v>
      </c>
      <c r="E611" s="1" t="n">
        <v>46286</v>
      </c>
      <c r="F611" t="inlineStr">
        <is>
          <t>VÄRMLANDS LÄN</t>
        </is>
      </c>
      <c r="G611" t="inlineStr">
        <is>
          <t>SÄFFLE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38291-2022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44812</v>
      </c>
      <c r="E612" s="1" t="n">
        <v>46286</v>
      </c>
      <c r="F612" t="inlineStr">
        <is>
          <t>VÄRMLANDS LÄN</t>
        </is>
      </c>
      <c r="G612" t="inlineStr">
        <is>
          <t>SÄFFLE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45874</v>
      </c>
      <c r="E613" s="1" t="n">
        <v>46286</v>
      </c>
      <c r="F613" t="inlineStr">
        <is>
          <t>VÄRMLANDS LÄN</t>
        </is>
      </c>
      <c r="G613" t="inlineStr">
        <is>
          <t>SÄFFLE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48079-2025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45932</v>
      </c>
      <c r="E614" s="1" t="n">
        <v>46286</v>
      </c>
      <c r="F614" t="inlineStr">
        <is>
          <t>VÄRMLANDS LÄN</t>
        </is>
      </c>
      <c r="G614" t="inlineStr">
        <is>
          <t>SÄFFLE</t>
        </is>
      </c>
      <c r="H614" t="inlineStr">
        <is>
          <t>Kyrkan</t>
        </is>
      </c>
      <c r="I614" t="n">
        <v>12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27031-2023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45095</v>
      </c>
      <c r="E615" s="1" t="n">
        <v>46286</v>
      </c>
      <c r="F615" t="inlineStr">
        <is>
          <t>VÄRMLANDS LÄN</t>
        </is>
      </c>
      <c r="G615" t="inlineStr">
        <is>
          <t>SÄFFLE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58383-2021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44488</v>
      </c>
      <c r="E616" s="1" t="n">
        <v>46286</v>
      </c>
      <c r="F616" t="inlineStr">
        <is>
          <t>VÄRMLANDS LÄN</t>
        </is>
      </c>
      <c r="G616" t="inlineStr">
        <is>
          <t>SÄFFLE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62298-2023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45267</v>
      </c>
      <c r="E617" s="1" t="n">
        <v>46286</v>
      </c>
      <c r="F617" t="inlineStr">
        <is>
          <t>VÄRMLANDS LÄN</t>
        </is>
      </c>
      <c r="G617" t="inlineStr">
        <is>
          <t>SÄFFLE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31020-2026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46286</v>
      </c>
      <c r="F618" t="inlineStr">
        <is>
          <t>VÄRMLANDS LÄN</t>
        </is>
      </c>
      <c r="G618" t="inlineStr">
        <is>
          <t>SÄFFLE</t>
        </is>
      </c>
      <c r="I618" t="n">
        <v>14.3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14649-2024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45397</v>
      </c>
      <c r="E619" s="1" t="n">
        <v>46286</v>
      </c>
      <c r="F619" t="inlineStr">
        <is>
          <t>VÄRMLANDS LÄN</t>
        </is>
      </c>
      <c r="G619" t="inlineStr">
        <is>
          <t>SÄFFLE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44758</v>
      </c>
      <c r="E620" s="1" t="n">
        <v>46286</v>
      </c>
      <c r="F620" t="inlineStr">
        <is>
          <t>VÄRMLANDS LÄN</t>
        </is>
      </c>
      <c r="G620" t="inlineStr">
        <is>
          <t>SÄFFLE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40759-2024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45558</v>
      </c>
      <c r="E621" s="1" t="n">
        <v>46286</v>
      </c>
      <c r="F621" t="inlineStr">
        <is>
          <t>VÄRMLANDS LÄN</t>
        </is>
      </c>
      <c r="G621" t="inlineStr">
        <is>
          <t>SÄFFLE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7361-2025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45704</v>
      </c>
      <c r="E622" s="1" t="n">
        <v>46286</v>
      </c>
      <c r="F622" t="inlineStr">
        <is>
          <t>VÄRMLANDS LÄN</t>
        </is>
      </c>
      <c r="G622" t="inlineStr">
        <is>
          <t>SÄFFLE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52025-2024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45607</v>
      </c>
      <c r="E623" s="1" t="n">
        <v>46286</v>
      </c>
      <c r="F623" t="inlineStr">
        <is>
          <t>VÄRMLANDS LÄN</t>
        </is>
      </c>
      <c r="G623" t="inlineStr">
        <is>
          <t>SÄFFLE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33805-2026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46251</v>
      </c>
      <c r="E624" s="1" t="n">
        <v>46286</v>
      </c>
      <c r="F624" t="inlineStr">
        <is>
          <t>VÄRMLANDS LÄN</t>
        </is>
      </c>
      <c r="G624" t="inlineStr">
        <is>
          <t>SÄFFLE</t>
        </is>
      </c>
      <c r="H624" t="inlineStr">
        <is>
          <t>Kyrkan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14197-2025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46286</v>
      </c>
      <c r="F625" t="inlineStr">
        <is>
          <t>VÄRMLANDS LÄN</t>
        </is>
      </c>
      <c r="G625" t="inlineStr">
        <is>
          <t>SÄFFLE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46251</v>
      </c>
      <c r="E626" s="1" t="n">
        <v>46286</v>
      </c>
      <c r="F626" t="inlineStr">
        <is>
          <t>VÄRMLANDS LÄN</t>
        </is>
      </c>
      <c r="G626" t="inlineStr">
        <is>
          <t>SÄFFLE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56552-2024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45625</v>
      </c>
      <c r="E627" s="1" t="n">
        <v>46286</v>
      </c>
      <c r="F627" t="inlineStr">
        <is>
          <t>VÄRMLANDS LÄN</t>
        </is>
      </c>
      <c r="G627" t="inlineStr">
        <is>
          <t>SÄFFLE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46286</v>
      </c>
      <c r="F628" t="inlineStr">
        <is>
          <t>VÄRMLANDS LÄN</t>
        </is>
      </c>
      <c r="G628" t="inlineStr">
        <is>
          <t>SÄFFLE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46286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44346-2024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45573</v>
      </c>
      <c r="E630" s="1" t="n">
        <v>46286</v>
      </c>
      <c r="F630" t="inlineStr">
        <is>
          <t>VÄRMLANDS LÄN</t>
        </is>
      </c>
      <c r="G630" t="inlineStr">
        <is>
          <t>SÄFFLE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44581</v>
      </c>
      <c r="E631" s="1" t="n">
        <v>46286</v>
      </c>
      <c r="F631" t="inlineStr">
        <is>
          <t>VÄRMLANDS LÄN</t>
        </is>
      </c>
      <c r="G631" t="inlineStr">
        <is>
          <t>SÄFFLE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15210-2026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46105</v>
      </c>
      <c r="E632" s="1" t="n">
        <v>46286</v>
      </c>
      <c r="F632" t="inlineStr">
        <is>
          <t>VÄRMLANDS LÄN</t>
        </is>
      </c>
      <c r="G632" t="inlineStr">
        <is>
          <t>SÄFFLE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44938</v>
      </c>
      <c r="E633" s="1" t="n">
        <v>46286</v>
      </c>
      <c r="F633" t="inlineStr">
        <is>
          <t>VÄRMLANDS LÄN</t>
        </is>
      </c>
      <c r="G633" t="inlineStr">
        <is>
          <t>SÄFFLE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43099-2024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45567</v>
      </c>
      <c r="E634" s="1" t="n">
        <v>46286</v>
      </c>
      <c r="F634" t="inlineStr">
        <is>
          <t>VÄRMLANDS LÄN</t>
        </is>
      </c>
      <c r="G634" t="inlineStr">
        <is>
          <t>SÄFFLE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46286</v>
      </c>
      <c r="F635" t="inlineStr">
        <is>
          <t>VÄRMLANDS LÄN</t>
        </is>
      </c>
      <c r="G635" t="inlineStr">
        <is>
          <t>SÄFFLE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45107</v>
      </c>
      <c r="E636" s="1" t="n">
        <v>46286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46286</v>
      </c>
      <c r="F637" t="inlineStr">
        <is>
          <t>VÄRMLANDS LÄN</t>
        </is>
      </c>
      <c r="G637" t="inlineStr">
        <is>
          <t>SÄFFLE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35117-2024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46286</v>
      </c>
      <c r="F638" t="inlineStr">
        <is>
          <t>VÄRMLANDS LÄN</t>
        </is>
      </c>
      <c r="G638" t="inlineStr">
        <is>
          <t>SÄFFLE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67203-2021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44523</v>
      </c>
      <c r="E639" s="1" t="n">
        <v>46286</v>
      </c>
      <c r="F639" t="inlineStr">
        <is>
          <t>VÄRMLANDS LÄN</t>
        </is>
      </c>
      <c r="G639" t="inlineStr">
        <is>
          <t>SÄFFLE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46209</v>
      </c>
      <c r="E640" s="1" t="n">
        <v>46286</v>
      </c>
      <c r="F640" t="inlineStr">
        <is>
          <t>VÄRMLANDS LÄN</t>
        </is>
      </c>
      <c r="G640" t="inlineStr">
        <is>
          <t>SÄFFLE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46286</v>
      </c>
      <c r="F641" t="inlineStr">
        <is>
          <t>VÄRMLANDS LÄN</t>
        </is>
      </c>
      <c r="G641" t="inlineStr">
        <is>
          <t>SÄFFLE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46286</v>
      </c>
      <c r="F642" t="inlineStr">
        <is>
          <t>VÄRMLANDS LÄN</t>
        </is>
      </c>
      <c r="G642" t="inlineStr">
        <is>
          <t>SÄFFLE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30456-2026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46209</v>
      </c>
      <c r="E643" s="1" t="n">
        <v>46286</v>
      </c>
      <c r="F643" t="inlineStr">
        <is>
          <t>VÄRMLANDS LÄN</t>
        </is>
      </c>
      <c r="G643" t="inlineStr">
        <is>
          <t>SÄFFLE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11626-2023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44994</v>
      </c>
      <c r="E644" s="1" t="n">
        <v>46286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34628-2026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46286</v>
      </c>
      <c r="F645" t="inlineStr">
        <is>
          <t>VÄRMLANDS LÄN</t>
        </is>
      </c>
      <c r="G645" t="inlineStr">
        <is>
          <t>SÄFFLE</t>
        </is>
      </c>
      <c r="H645" t="inlineStr">
        <is>
          <t>Kyrkan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46286</v>
      </c>
      <c r="F646" t="inlineStr">
        <is>
          <t>VÄRMLANDS LÄN</t>
        </is>
      </c>
      <c r="G646" t="inlineStr">
        <is>
          <t>SÄFFLE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46286</v>
      </c>
      <c r="F647" t="inlineStr">
        <is>
          <t>VÄRMLANDS LÄN</t>
        </is>
      </c>
      <c r="G647" t="inlineStr">
        <is>
          <t>SÄFFLE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29508-2023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45106</v>
      </c>
      <c r="E648" s="1" t="n">
        <v>46286</v>
      </c>
      <c r="F648" t="inlineStr">
        <is>
          <t>VÄRMLANDS LÄN</t>
        </is>
      </c>
      <c r="G648" t="inlineStr">
        <is>
          <t>SÄFFLE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34251-2026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46253</v>
      </c>
      <c r="E649" s="1" t="n">
        <v>46286</v>
      </c>
      <c r="F649" t="inlineStr">
        <is>
          <t>VÄRMLANDS LÄN</t>
        </is>
      </c>
      <c r="G649" t="inlineStr">
        <is>
          <t>SÄFFLE</t>
        </is>
      </c>
      <c r="I649" t="n">
        <v>39.3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6768-2025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45700</v>
      </c>
      <c r="E650" s="1" t="n">
        <v>46286</v>
      </c>
      <c r="F650" t="inlineStr">
        <is>
          <t>VÄRMLANDS LÄN</t>
        </is>
      </c>
      <c r="G650" t="inlineStr">
        <is>
          <t>SÄFFLE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44929</v>
      </c>
      <c r="E651" s="1" t="n">
        <v>46286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45426</v>
      </c>
      <c r="E652" s="1" t="n">
        <v>46286</v>
      </c>
      <c r="F652" t="inlineStr">
        <is>
          <t>VÄRMLANDS LÄN</t>
        </is>
      </c>
      <c r="G652" t="inlineStr">
        <is>
          <t>SÄFFLE</t>
        </is>
      </c>
      <c r="I652" t="n">
        <v>10.8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46286</v>
      </c>
      <c r="F653" t="inlineStr">
        <is>
          <t>VÄRMLANDS LÄN</t>
        </is>
      </c>
      <c r="G653" t="inlineStr">
        <is>
          <t>SÄFFLE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53303-2023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45229</v>
      </c>
      <c r="E654" s="1" t="n">
        <v>46286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45165-2023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46286</v>
      </c>
      <c r="F655" t="inlineStr">
        <is>
          <t>VÄRMLANDS LÄN</t>
        </is>
      </c>
      <c r="G655" t="inlineStr">
        <is>
          <t>SÄFFLE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45167-2023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46286</v>
      </c>
      <c r="F656" t="inlineStr">
        <is>
          <t>VÄRMLANDS LÄN</t>
        </is>
      </c>
      <c r="G656" t="inlineStr">
        <is>
          <t>SÄFFLE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44959</v>
      </c>
      <c r="E657" s="1" t="n">
        <v>46286</v>
      </c>
      <c r="F657" t="inlineStr">
        <is>
          <t>VÄRMLANDS LÄN</t>
        </is>
      </c>
      <c r="G657" t="inlineStr">
        <is>
          <t>SÄFFLE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56498-2023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45237</v>
      </c>
      <c r="E658" s="1" t="n">
        <v>46286</v>
      </c>
      <c r="F658" t="inlineStr">
        <is>
          <t>VÄRMLANDS LÄN</t>
        </is>
      </c>
      <c r="G658" t="inlineStr">
        <is>
          <t>SÄFFLE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44921</v>
      </c>
      <c r="E659" s="1" t="n">
        <v>46286</v>
      </c>
      <c r="F659" t="inlineStr">
        <is>
          <t>VÄRMLANDS LÄN</t>
        </is>
      </c>
      <c r="G659" t="inlineStr">
        <is>
          <t>SÄFFLE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10354-2025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45720</v>
      </c>
      <c r="E660" s="1" t="n">
        <v>46286</v>
      </c>
      <c r="F660" t="inlineStr">
        <is>
          <t>VÄRMLANDS LÄN</t>
        </is>
      </c>
      <c r="G660" t="inlineStr">
        <is>
          <t>SÄFFLE</t>
        </is>
      </c>
      <c r="H660" t="inlineStr">
        <is>
          <t>Kyrkan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45692</v>
      </c>
      <c r="E661" s="1" t="n">
        <v>46286</v>
      </c>
      <c r="F661" t="inlineStr">
        <is>
          <t>VÄRMLANDS LÄN</t>
        </is>
      </c>
      <c r="G661" t="inlineStr">
        <is>
          <t>SÄFFLE</t>
        </is>
      </c>
      <c r="I661" t="n">
        <v>19.2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45692</v>
      </c>
      <c r="E662" s="1" t="n">
        <v>46286</v>
      </c>
      <c r="F662" t="inlineStr">
        <is>
          <t>VÄRMLANDS LÄN</t>
        </is>
      </c>
      <c r="G662" t="inlineStr">
        <is>
          <t>SÄFFLE</t>
        </is>
      </c>
      <c r="I662" t="n">
        <v>20.8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17505-2022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44679</v>
      </c>
      <c r="E663" s="1" t="n">
        <v>46286</v>
      </c>
      <c r="F663" t="inlineStr">
        <is>
          <t>VÄRMLANDS LÄN</t>
        </is>
      </c>
      <c r="G663" t="inlineStr">
        <is>
          <t>SÄFFLE</t>
        </is>
      </c>
      <c r="I663" t="n">
        <v>13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21563-2023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45063</v>
      </c>
      <c r="E664" s="1" t="n">
        <v>46286</v>
      </c>
      <c r="F664" t="inlineStr">
        <is>
          <t>VÄRMLANDS LÄN</t>
        </is>
      </c>
      <c r="G664" t="inlineStr">
        <is>
          <t>SÄFFLE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45420</v>
      </c>
      <c r="E665" s="1" t="n">
        <v>46286</v>
      </c>
      <c r="F665" t="inlineStr">
        <is>
          <t>VÄRMLANDS LÄN</t>
        </is>
      </c>
      <c r="G665" t="inlineStr">
        <is>
          <t>SÄFFLE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8909-2023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44973</v>
      </c>
      <c r="E666" s="1" t="n">
        <v>46286</v>
      </c>
      <c r="F666" t="inlineStr">
        <is>
          <t>VÄRMLANDS LÄN</t>
        </is>
      </c>
      <c r="G666" t="inlineStr">
        <is>
          <t>SÄFFLE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32968-2024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45517</v>
      </c>
      <c r="E667" s="1" t="n">
        <v>46286</v>
      </c>
      <c r="F667" t="inlineStr">
        <is>
          <t>VÄRMLANDS LÄN</t>
        </is>
      </c>
      <c r="G667" t="inlineStr">
        <is>
          <t>SÄFFLE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45681</v>
      </c>
      <c r="E668" s="1" t="n">
        <v>46286</v>
      </c>
      <c r="F668" t="inlineStr">
        <is>
          <t>VÄRMLANDS LÄN</t>
        </is>
      </c>
      <c r="G668" t="inlineStr">
        <is>
          <t>SÄFFLE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13029-2024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46286</v>
      </c>
      <c r="F669" t="inlineStr">
        <is>
          <t>VÄRMLANDS LÄN</t>
        </is>
      </c>
      <c r="G669" t="inlineStr">
        <is>
          <t>SÄFFLE</t>
        </is>
      </c>
      <c r="I669" t="n">
        <v>7.9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30387-2024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45491</v>
      </c>
      <c r="E670" s="1" t="n">
        <v>46286</v>
      </c>
      <c r="F670" t="inlineStr">
        <is>
          <t>VÄRMLANDS LÄN</t>
        </is>
      </c>
      <c r="G670" t="inlineStr">
        <is>
          <t>SÄFFLE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45441</v>
      </c>
      <c r="E671" s="1" t="n">
        <v>46286</v>
      </c>
      <c r="F671" t="inlineStr">
        <is>
          <t>VÄRMLANDS LÄN</t>
        </is>
      </c>
      <c r="G671" t="inlineStr">
        <is>
          <t>SÄFFLE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23055-2023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45075</v>
      </c>
      <c r="E672" s="1" t="n">
        <v>46286</v>
      </c>
      <c r="F672" t="inlineStr">
        <is>
          <t>VÄRMLANDS LÄN</t>
        </is>
      </c>
      <c r="G672" t="inlineStr">
        <is>
          <t>SÄFFLE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46258</v>
      </c>
      <c r="E673" s="1" t="n">
        <v>46286</v>
      </c>
      <c r="F673" t="inlineStr">
        <is>
          <t>VÄRMLANDS LÄN</t>
        </is>
      </c>
      <c r="G673" t="inlineStr">
        <is>
          <t>SÄFFLE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16484-2022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44671</v>
      </c>
      <c r="E674" s="1" t="n">
        <v>46286</v>
      </c>
      <c r="F674" t="inlineStr">
        <is>
          <t>VÄRMLANDS LÄN</t>
        </is>
      </c>
      <c r="G674" t="inlineStr">
        <is>
          <t>SÄFFLE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21492-2023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45063</v>
      </c>
      <c r="E675" s="1" t="n">
        <v>46286</v>
      </c>
      <c r="F675" t="inlineStr">
        <is>
          <t>VÄRMLANDS LÄN</t>
        </is>
      </c>
      <c r="G675" t="inlineStr">
        <is>
          <t>SÄFFLE</t>
        </is>
      </c>
      <c r="I675" t="n">
        <v>9.800000000000001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45707</v>
      </c>
      <c r="E676" s="1" t="n">
        <v>46286</v>
      </c>
      <c r="F676" t="inlineStr">
        <is>
          <t>VÄRMLANDS LÄN</t>
        </is>
      </c>
      <c r="G676" t="inlineStr">
        <is>
          <t>SÄFFLE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18228-2023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45040</v>
      </c>
      <c r="E677" s="1" t="n">
        <v>46286</v>
      </c>
      <c r="F677" t="inlineStr">
        <is>
          <t>VÄRMLANDS LÄN</t>
        </is>
      </c>
      <c r="G677" t="inlineStr">
        <is>
          <t>SÄFFLE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10322-2024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45365</v>
      </c>
      <c r="E678" s="1" t="n">
        <v>46286</v>
      </c>
      <c r="F678" t="inlineStr">
        <is>
          <t>VÄRMLANDS LÄN</t>
        </is>
      </c>
      <c r="G678" t="inlineStr">
        <is>
          <t>SÄFFLE</t>
        </is>
      </c>
      <c r="I678" t="n">
        <v>20.7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64824-2023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45281</v>
      </c>
      <c r="E679" s="1" t="n">
        <v>46286</v>
      </c>
      <c r="F679" t="inlineStr">
        <is>
          <t>VÄRMLANDS LÄN</t>
        </is>
      </c>
      <c r="G679" t="inlineStr">
        <is>
          <t>SÄFFLE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27815-2023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46286</v>
      </c>
      <c r="F680" t="inlineStr">
        <is>
          <t>VÄRMLANDS LÄN</t>
        </is>
      </c>
      <c r="G680" t="inlineStr">
        <is>
          <t>SÄFFLE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27821-2023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45098</v>
      </c>
      <c r="E681" s="1" t="n">
        <v>46286</v>
      </c>
      <c r="F681" t="inlineStr">
        <is>
          <t>VÄRMLANDS LÄN</t>
        </is>
      </c>
      <c r="G681" t="inlineStr">
        <is>
          <t>SÄFFLE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45386</v>
      </c>
      <c r="E682" s="1" t="n">
        <v>46286</v>
      </c>
      <c r="F682" t="inlineStr">
        <is>
          <t>VÄRMLANDS LÄN</t>
        </is>
      </c>
      <c r="G682" t="inlineStr">
        <is>
          <t>SÄFFLE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35508-2026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46262</v>
      </c>
      <c r="E683" s="1" t="n">
        <v>46286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64061-2021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44509</v>
      </c>
      <c r="E684" s="1" t="n">
        <v>46286</v>
      </c>
      <c r="F684" t="inlineStr">
        <is>
          <t>VÄRMLANDS LÄN</t>
        </is>
      </c>
      <c r="G684" t="inlineStr">
        <is>
          <t>SÄFFLE</t>
        </is>
      </c>
      <c r="H684" t="inlineStr">
        <is>
          <t>Bergvik skog väst AB</t>
        </is>
      </c>
      <c r="I684" t="n">
        <v>12.6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44998</v>
      </c>
      <c r="E685" s="1" t="n">
        <v>46286</v>
      </c>
      <c r="F685" t="inlineStr">
        <is>
          <t>VÄRMLANDS LÄN</t>
        </is>
      </c>
      <c r="G685" t="inlineStr">
        <is>
          <t>SÄFFLE</t>
        </is>
      </c>
      <c r="I685" t="n">
        <v>11.1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44574</v>
      </c>
      <c r="E686" s="1" t="n">
        <v>46286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9612-2024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45361</v>
      </c>
      <c r="E687" s="1" t="n">
        <v>46286</v>
      </c>
      <c r="F687" t="inlineStr">
        <is>
          <t>VÄRMLANDS LÄN</t>
        </is>
      </c>
      <c r="G687" t="inlineStr">
        <is>
          <t>SÄFFLE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45314</v>
      </c>
      <c r="E688" s="1" t="n">
        <v>46286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20520-2023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45057</v>
      </c>
      <c r="E689" s="1" t="n">
        <v>46286</v>
      </c>
      <c r="F689" t="inlineStr">
        <is>
          <t>VÄRMLANDS LÄN</t>
        </is>
      </c>
      <c r="G689" t="inlineStr">
        <is>
          <t>SÄFFLE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51052-2022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44868</v>
      </c>
      <c r="E690" s="1" t="n">
        <v>46286</v>
      </c>
      <c r="F690" t="inlineStr">
        <is>
          <t>VÄRMLANDS LÄN</t>
        </is>
      </c>
      <c r="G690" t="inlineStr">
        <is>
          <t>SÄFFLE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19273-2025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45769</v>
      </c>
      <c r="E691" s="1" t="n">
        <v>46286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11.6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36001-2023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45149</v>
      </c>
      <c r="E692" s="1" t="n">
        <v>46286</v>
      </c>
      <c r="F692" t="inlineStr">
        <is>
          <t>VÄRMLANDS LÄN</t>
        </is>
      </c>
      <c r="G692" t="inlineStr">
        <is>
          <t>SÄFFLE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46266</v>
      </c>
      <c r="E693" s="1" t="n">
        <v>46286</v>
      </c>
      <c r="F693" t="inlineStr">
        <is>
          <t>VÄRMLANDS LÄN</t>
        </is>
      </c>
      <c r="G693" t="inlineStr">
        <is>
          <t>SÄFFLE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63080-2023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45273</v>
      </c>
      <c r="E694" s="1" t="n">
        <v>46286</v>
      </c>
      <c r="F694" t="inlineStr">
        <is>
          <t>VÄRMLANDS LÄN</t>
        </is>
      </c>
      <c r="G694" t="inlineStr">
        <is>
          <t>SÄFFLE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35898-2026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46266</v>
      </c>
      <c r="E695" s="1" t="n">
        <v>46286</v>
      </c>
      <c r="F695" t="inlineStr">
        <is>
          <t>VÄRMLANDS LÄN</t>
        </is>
      </c>
      <c r="G695" t="inlineStr">
        <is>
          <t>SÄFFLE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35971-2026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46286</v>
      </c>
      <c r="F696" t="inlineStr">
        <is>
          <t>VÄRMLANDS LÄN</t>
        </is>
      </c>
      <c r="G696" t="inlineStr">
        <is>
          <t>SÄFFLE</t>
        </is>
      </c>
      <c r="I696" t="n">
        <v>6.4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2885-2025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45677</v>
      </c>
      <c r="E697" s="1" t="n">
        <v>46286</v>
      </c>
      <c r="F697" t="inlineStr">
        <is>
          <t>VÄRMLANDS LÄN</t>
        </is>
      </c>
      <c r="G697" t="inlineStr">
        <is>
          <t>SÄFFLE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18106-2023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45040</v>
      </c>
      <c r="E698" s="1" t="n">
        <v>46286</v>
      </c>
      <c r="F698" t="inlineStr">
        <is>
          <t>VÄRMLANDS LÄN</t>
        </is>
      </c>
      <c r="G698" t="inlineStr">
        <is>
          <t>SÄFFLE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14314-2024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46286</v>
      </c>
      <c r="F699" t="inlineStr">
        <is>
          <t>VÄRMLANDS LÄN</t>
        </is>
      </c>
      <c r="G699" t="inlineStr">
        <is>
          <t>SÄFFLE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10379-2022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44623</v>
      </c>
      <c r="E700" s="1" t="n">
        <v>46286</v>
      </c>
      <c r="F700" t="inlineStr">
        <is>
          <t>VÄRMLANDS LÄN</t>
        </is>
      </c>
      <c r="G700" t="inlineStr">
        <is>
          <t>SÄFFLE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45647-2023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45194</v>
      </c>
      <c r="E701" s="1" t="n">
        <v>46286</v>
      </c>
      <c r="F701" t="inlineStr">
        <is>
          <t>VÄRMLANDS LÄN</t>
        </is>
      </c>
      <c r="G701" t="inlineStr">
        <is>
          <t>SÄFFLE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45672</v>
      </c>
      <c r="E702" s="1" t="n">
        <v>46286</v>
      </c>
      <c r="F702" t="inlineStr">
        <is>
          <t>VÄRMLANDS LÄN</t>
        </is>
      </c>
      <c r="G702" t="inlineStr">
        <is>
          <t>SÄFFLE</t>
        </is>
      </c>
      <c r="I702" t="n">
        <v>46.5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58878-2021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44489</v>
      </c>
      <c r="E703" s="1" t="n">
        <v>46286</v>
      </c>
      <c r="F703" t="inlineStr">
        <is>
          <t>VÄRMLANDS LÄN</t>
        </is>
      </c>
      <c r="G703" t="inlineStr">
        <is>
          <t>SÄFFLE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36513-2026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46286</v>
      </c>
      <c r="F704" t="inlineStr">
        <is>
          <t>VÄRMLANDS LÄN</t>
        </is>
      </c>
      <c r="G704" t="inlineStr">
        <is>
          <t>SÄFFLE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36464-2026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46269</v>
      </c>
      <c r="E705" s="1" t="n">
        <v>46286</v>
      </c>
      <c r="F705" t="inlineStr">
        <is>
          <t>VÄRMLANDS LÄN</t>
        </is>
      </c>
      <c r="G705" t="inlineStr">
        <is>
          <t>SÄFFLE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12599-2024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45380</v>
      </c>
      <c r="E706" s="1" t="n">
        <v>46286</v>
      </c>
      <c r="F706" t="inlineStr">
        <is>
          <t>VÄRMLANDS LÄN</t>
        </is>
      </c>
      <c r="G706" t="inlineStr">
        <is>
          <t>SÄFFLE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21745-2025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45783</v>
      </c>
      <c r="E707" s="1" t="n">
        <v>46286</v>
      </c>
      <c r="F707" t="inlineStr">
        <is>
          <t>VÄRMLANDS LÄN</t>
        </is>
      </c>
      <c r="G707" t="inlineStr">
        <is>
          <t>SÄFFLE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10697-2024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45369</v>
      </c>
      <c r="E708" s="1" t="n">
        <v>46286</v>
      </c>
      <c r="F708" t="inlineStr">
        <is>
          <t>VÄRMLANDS LÄN</t>
        </is>
      </c>
      <c r="G708" t="inlineStr">
        <is>
          <t>SÄFFLE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18925-2024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45427</v>
      </c>
      <c r="E709" s="1" t="n">
        <v>46286</v>
      </c>
      <c r="F709" t="inlineStr">
        <is>
          <t>VÄRMLANDS LÄN</t>
        </is>
      </c>
      <c r="G709" t="inlineStr">
        <is>
          <t>SÄFFLE</t>
        </is>
      </c>
      <c r="I709" t="n">
        <v>7.7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36972-2026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46273</v>
      </c>
      <c r="E710" s="1" t="n">
        <v>46286</v>
      </c>
      <c r="F710" t="inlineStr">
        <is>
          <t>VÄRMLANDS LÄN</t>
        </is>
      </c>
      <c r="G710" t="inlineStr">
        <is>
          <t>SÄFFLE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36966-2026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46273</v>
      </c>
      <c r="E711" s="1" t="n">
        <v>46286</v>
      </c>
      <c r="F711" t="inlineStr">
        <is>
          <t>VÄRMLANDS LÄN</t>
        </is>
      </c>
      <c r="G711" t="inlineStr">
        <is>
          <t>SÄFFLE</t>
        </is>
      </c>
      <c r="I711" t="n">
        <v>8.1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40518-2024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45555</v>
      </c>
      <c r="E712" s="1" t="n">
        <v>46286</v>
      </c>
      <c r="F712" t="inlineStr">
        <is>
          <t>VÄRMLANDS LÄN</t>
        </is>
      </c>
      <c r="G712" t="inlineStr">
        <is>
          <t>SÄFFLE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21980-2025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45784</v>
      </c>
      <c r="E713" s="1" t="n">
        <v>46286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46232</v>
      </c>
      <c r="E714" s="1" t="n">
        <v>46286</v>
      </c>
      <c r="F714" t="inlineStr">
        <is>
          <t>VÄRMLANDS LÄN</t>
        </is>
      </c>
      <c r="G714" t="inlineStr">
        <is>
          <t>SÄFFLE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31939-2026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46232</v>
      </c>
      <c r="E715" s="1" t="n">
        <v>46286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31935-2026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46232</v>
      </c>
      <c r="E716" s="1" t="n">
        <v>46286</v>
      </c>
      <c r="F716" t="inlineStr">
        <is>
          <t>VÄRMLANDS LÄN</t>
        </is>
      </c>
      <c r="G716" t="inlineStr">
        <is>
          <t>SÄFFLE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46279</v>
      </c>
      <c r="E717" s="1" t="n">
        <v>46286</v>
      </c>
      <c r="F717" t="inlineStr">
        <is>
          <t>VÄRMLANDS LÄN</t>
        </is>
      </c>
      <c r="G717" t="inlineStr">
        <is>
          <t>SÄFFLE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46286</v>
      </c>
      <c r="F718" t="inlineStr">
        <is>
          <t>VÄRMLANDS LÄN</t>
        </is>
      </c>
      <c r="G718" t="inlineStr">
        <is>
          <t>SÄFFLE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61819-2024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45646</v>
      </c>
      <c r="E719" s="1" t="n">
        <v>46286</v>
      </c>
      <c r="F719" t="inlineStr">
        <is>
          <t>VÄRMLANDS LÄN</t>
        </is>
      </c>
      <c r="G719" t="inlineStr">
        <is>
          <t>SÄFFLE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45736</v>
      </c>
      <c r="E720" s="1" t="n">
        <v>46286</v>
      </c>
      <c r="F720" t="inlineStr">
        <is>
          <t>VÄRMLANDS LÄN</t>
        </is>
      </c>
      <c r="G720" t="inlineStr">
        <is>
          <t>SÄFFLE</t>
        </is>
      </c>
      <c r="I720" t="n">
        <v>8.5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46286</v>
      </c>
      <c r="F721" t="inlineStr">
        <is>
          <t>VÄRMLANDS LÄN</t>
        </is>
      </c>
      <c r="G721" t="inlineStr">
        <is>
          <t>SÄFFLE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32206-2026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46237</v>
      </c>
      <c r="E722" s="1" t="n">
        <v>46286</v>
      </c>
      <c r="F722" t="inlineStr">
        <is>
          <t>VÄRMLANDS LÄN</t>
        </is>
      </c>
      <c r="G722" t="inlineStr">
        <is>
          <t>SÄFFLE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46286</v>
      </c>
      <c r="F723" t="inlineStr">
        <is>
          <t>VÄRMLANDS LÄN</t>
        </is>
      </c>
      <c r="G723" t="inlineStr">
        <is>
          <t>SÄFFLE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32210-2026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46237</v>
      </c>
      <c r="E724" s="1" t="n">
        <v>46286</v>
      </c>
      <c r="F724" t="inlineStr">
        <is>
          <t>VÄRMLANDS LÄN</t>
        </is>
      </c>
      <c r="G724" t="inlineStr">
        <is>
          <t>SÄFFLE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45720</v>
      </c>
      <c r="E725" s="1" t="n">
        <v>46286</v>
      </c>
      <c r="F725" t="inlineStr">
        <is>
          <t>VÄRMLANDS LÄN</t>
        </is>
      </c>
      <c r="G725" t="inlineStr">
        <is>
          <t>SÄFFLE</t>
        </is>
      </c>
      <c r="H725" t="inlineStr">
        <is>
          <t>Kyrkan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46279</v>
      </c>
      <c r="E726" s="1" t="n">
        <v>46286</v>
      </c>
      <c r="F726" t="inlineStr">
        <is>
          <t>VÄRMLANDS LÄN</t>
        </is>
      </c>
      <c r="G726" t="inlineStr">
        <is>
          <t>SÄFFLE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55093-2022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44881</v>
      </c>
      <c r="E727" s="1" t="n">
        <v>46286</v>
      </c>
      <c r="F727" t="inlineStr">
        <is>
          <t>VÄRMLANDS LÄN</t>
        </is>
      </c>
      <c r="G727" t="inlineStr">
        <is>
          <t>SÄFFLE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46237</v>
      </c>
      <c r="E728" s="1" t="n">
        <v>46286</v>
      </c>
      <c r="F728" t="inlineStr">
        <is>
          <t>VÄRMLANDS LÄN</t>
        </is>
      </c>
      <c r="G728" t="inlineStr">
        <is>
          <t>SÄFFLE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32200-2026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46237</v>
      </c>
      <c r="E729" s="1" t="n">
        <v>46286</v>
      </c>
      <c r="F729" t="inlineStr">
        <is>
          <t>VÄRMLANDS LÄN</t>
        </is>
      </c>
      <c r="G729" t="inlineStr">
        <is>
          <t>SÄFFLE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46279</v>
      </c>
      <c r="E730" s="1" t="n">
        <v>46286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38256-2026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46281</v>
      </c>
      <c r="E731" s="1" t="n">
        <v>46286</v>
      </c>
      <c r="F731" t="inlineStr">
        <is>
          <t>VÄRMLANDS LÄN</t>
        </is>
      </c>
      <c r="G731" t="inlineStr">
        <is>
          <t>SÄFFLE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45791</v>
      </c>
      <c r="E732" s="1" t="n">
        <v>46286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22996-2025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46286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38116-2026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46281</v>
      </c>
      <c r="E734" s="1" t="n">
        <v>46286</v>
      </c>
      <c r="F734" t="inlineStr">
        <is>
          <t>VÄRMLANDS LÄN</t>
        </is>
      </c>
      <c r="G734" t="inlineStr">
        <is>
          <t>SÄFFLE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46286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23081-2025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45791</v>
      </c>
      <c r="E736" s="1" t="n">
        <v>46286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23371-2025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45791</v>
      </c>
      <c r="E737" s="1" t="n">
        <v>46286</v>
      </c>
      <c r="F737" t="inlineStr">
        <is>
          <t>VÄRMLANDS LÄN</t>
        </is>
      </c>
      <c r="G737" t="inlineStr">
        <is>
          <t>SÄFFLE</t>
        </is>
      </c>
      <c r="H737" t="inlineStr">
        <is>
          <t>Bergvik skog väst AB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22993-2025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46286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16802-2026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46286</v>
      </c>
      <c r="F739" t="inlineStr">
        <is>
          <t>VÄRMLANDS LÄN</t>
        </is>
      </c>
      <c r="G739" t="inlineStr">
        <is>
          <t>SÄFFLE</t>
        </is>
      </c>
      <c r="I739" t="n">
        <v>16.2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46286</v>
      </c>
      <c r="F740" t="inlineStr">
        <is>
          <t>VÄRMLANDS LÄN</t>
        </is>
      </c>
      <c r="G740" t="inlineStr">
        <is>
          <t>SÄFFLE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22997-2025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45790</v>
      </c>
      <c r="E741" s="1" t="n">
        <v>46286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23002-2025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46286</v>
      </c>
      <c r="F742" t="inlineStr">
        <is>
          <t>VÄRMLANDS LÄN</t>
        </is>
      </c>
      <c r="G742" t="inlineStr">
        <is>
          <t>SÄFFLE</t>
        </is>
      </c>
      <c r="H742" t="inlineStr">
        <is>
          <t>Bergvik skog väst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38572-2026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46283</v>
      </c>
      <c r="E743" s="1" t="n">
        <v>46286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12.6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57179-2023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45239</v>
      </c>
      <c r="E744" s="1" t="n">
        <v>46286</v>
      </c>
      <c r="F744" t="inlineStr">
        <is>
          <t>VÄRMLANDS LÄN</t>
        </is>
      </c>
      <c r="G744" t="inlineStr">
        <is>
          <t>SÄFFLE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45796</v>
      </c>
      <c r="E745" s="1" t="n">
        <v>46286</v>
      </c>
      <c r="F745" t="inlineStr">
        <is>
          <t>VÄRMLANDS LÄN</t>
        </is>
      </c>
      <c r="G745" t="inlineStr">
        <is>
          <t>SÄFFLE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46286</v>
      </c>
      <c r="F746" t="inlineStr">
        <is>
          <t>VÄRMLANDS LÄN</t>
        </is>
      </c>
      <c r="G746" t="inlineStr">
        <is>
          <t>SÄFFLE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38652-2026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46283</v>
      </c>
      <c r="E747" s="1" t="n">
        <v>46286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4093-2024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45323</v>
      </c>
      <c r="E748" s="1" t="n">
        <v>46286</v>
      </c>
      <c r="F748" t="inlineStr">
        <is>
          <t>VÄRMLANDS LÄN</t>
        </is>
      </c>
      <c r="G748" t="inlineStr">
        <is>
          <t>SÄFFLE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59632-2024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45638</v>
      </c>
      <c r="E749" s="1" t="n">
        <v>46286</v>
      </c>
      <c r="F749" t="inlineStr">
        <is>
          <t>VÄRMLANDS LÄN</t>
        </is>
      </c>
      <c r="G749" t="inlineStr">
        <is>
          <t>SÄFFLE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46283</v>
      </c>
      <c r="E750" s="1" t="n">
        <v>46286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25027-2025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46286</v>
      </c>
      <c r="F751" t="inlineStr">
        <is>
          <t>VÄRMLANDS LÄN</t>
        </is>
      </c>
      <c r="G751" t="inlineStr">
        <is>
          <t>SÄFFLE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25183-2025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45800</v>
      </c>
      <c r="E752" s="1" t="n">
        <v>46286</v>
      </c>
      <c r="F752" t="inlineStr">
        <is>
          <t>VÄRMLANDS LÄN</t>
        </is>
      </c>
      <c r="G752" t="inlineStr">
        <is>
          <t>SÄFFLE</t>
        </is>
      </c>
      <c r="I752" t="n">
        <v>16.1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26529-2025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45807</v>
      </c>
      <c r="E753" s="1" t="n">
        <v>46286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53974-2024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45615</v>
      </c>
      <c r="E754" s="1" t="n">
        <v>46286</v>
      </c>
      <c r="F754" t="inlineStr">
        <is>
          <t>VÄRMLANDS LÄN</t>
        </is>
      </c>
      <c r="G754" t="inlineStr">
        <is>
          <t>SÄFFLE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27129-2025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45811</v>
      </c>
      <c r="E755" s="1" t="n">
        <v>46286</v>
      </c>
      <c r="F755" t="inlineStr">
        <is>
          <t>VÄRMLANDS LÄN</t>
        </is>
      </c>
      <c r="G755" t="inlineStr">
        <is>
          <t>SÄFFLE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45520</v>
      </c>
      <c r="E756" s="1" t="n">
        <v>46286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46286</v>
      </c>
      <c r="F757" t="inlineStr">
        <is>
          <t>VÄRMLANDS LÄN</t>
        </is>
      </c>
      <c r="G757" t="inlineStr">
        <is>
          <t>SÄFFLE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46575-2024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45582</v>
      </c>
      <c r="E758" s="1" t="n">
        <v>46286</v>
      </c>
      <c r="F758" t="inlineStr">
        <is>
          <t>VÄRMLANDS LÄN</t>
        </is>
      </c>
      <c r="G758" t="inlineStr">
        <is>
          <t>SÄFFLE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26948-2025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45811</v>
      </c>
      <c r="E759" s="1" t="n">
        <v>46286</v>
      </c>
      <c r="F759" t="inlineStr">
        <is>
          <t>VÄRMLANDS LÄN</t>
        </is>
      </c>
      <c r="G759" t="inlineStr">
        <is>
          <t>SÄFFLE</t>
        </is>
      </c>
      <c r="H759" t="inlineStr">
        <is>
          <t>Bergvik skog väst AB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31199-2024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45503</v>
      </c>
      <c r="E760" s="1" t="n">
        <v>46286</v>
      </c>
      <c r="F760" t="inlineStr">
        <is>
          <t>VÄRMLANDS LÄN</t>
        </is>
      </c>
      <c r="G760" t="inlineStr">
        <is>
          <t>SÄFFLE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9252-2024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45358</v>
      </c>
      <c r="E761" s="1" t="n">
        <v>46286</v>
      </c>
      <c r="F761" t="inlineStr">
        <is>
          <t>VÄRMLANDS LÄN</t>
        </is>
      </c>
      <c r="G761" t="inlineStr">
        <is>
          <t>SÄFFLE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57517-2024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46286</v>
      </c>
      <c r="F762" t="inlineStr">
        <is>
          <t>VÄRMLANDS LÄN</t>
        </is>
      </c>
      <c r="G762" t="inlineStr">
        <is>
          <t>SÄFFLE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51640-2022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44872</v>
      </c>
      <c r="E763" s="1" t="n">
        <v>46286</v>
      </c>
      <c r="F763" t="inlineStr">
        <is>
          <t>VÄRMLANDS LÄN</t>
        </is>
      </c>
      <c r="G763" t="inlineStr">
        <is>
          <t>SÄFFLE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19815-2025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45771</v>
      </c>
      <c r="E764" s="1" t="n">
        <v>46286</v>
      </c>
      <c r="F764" t="inlineStr">
        <is>
          <t>VÄRMLANDS LÄN</t>
        </is>
      </c>
      <c r="G764" t="inlineStr">
        <is>
          <t>SÄFFLE</t>
        </is>
      </c>
      <c r="I764" t="n">
        <v>7.2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52026-2024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45607</v>
      </c>
      <c r="E765" s="1" t="n">
        <v>46286</v>
      </c>
      <c r="F765" t="inlineStr">
        <is>
          <t>VÄRMLANDS LÄN</t>
        </is>
      </c>
      <c r="G765" t="inlineStr">
        <is>
          <t>SÄFFLE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27540-2025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45813</v>
      </c>
      <c r="E766" s="1" t="n">
        <v>46286</v>
      </c>
      <c r="F766" t="inlineStr">
        <is>
          <t>VÄRMLANDS LÄN</t>
        </is>
      </c>
      <c r="G766" t="inlineStr">
        <is>
          <t>SÄFFLE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45138-2024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45575</v>
      </c>
      <c r="E767" s="1" t="n">
        <v>46286</v>
      </c>
      <c r="F767" t="inlineStr">
        <is>
          <t>VÄRMLANDS LÄN</t>
        </is>
      </c>
      <c r="G767" t="inlineStr">
        <is>
          <t>SÄFFLE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17971-2024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45419</v>
      </c>
      <c r="E768" s="1" t="n">
        <v>46286</v>
      </c>
      <c r="F768" t="inlineStr">
        <is>
          <t>VÄRMLANDS LÄN</t>
        </is>
      </c>
      <c r="G768" t="inlineStr">
        <is>
          <t>SÄFFLE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55795-2024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45623</v>
      </c>
      <c r="E769" s="1" t="n">
        <v>46286</v>
      </c>
      <c r="F769" t="inlineStr">
        <is>
          <t>VÄRMLANDS LÄN</t>
        </is>
      </c>
      <c r="G769" t="inlineStr">
        <is>
          <t>SÄFFLE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18549-2025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46286</v>
      </c>
      <c r="F770" t="inlineStr">
        <is>
          <t>VÄRMLANDS LÄN</t>
        </is>
      </c>
      <c r="G770" t="inlineStr">
        <is>
          <t>SÄFFLE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61608-2024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45646</v>
      </c>
      <c r="E771" s="1" t="n">
        <v>46286</v>
      </c>
      <c r="F771" t="inlineStr">
        <is>
          <t>VÄRMLANDS LÄN</t>
        </is>
      </c>
      <c r="G771" t="inlineStr">
        <is>
          <t>SÄFFLE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18040-2025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45761</v>
      </c>
      <c r="E772" s="1" t="n">
        <v>46286</v>
      </c>
      <c r="F772" t="inlineStr">
        <is>
          <t>VÄRMLANDS LÄN</t>
        </is>
      </c>
      <c r="G772" t="inlineStr">
        <is>
          <t>SÄFFLE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61614-2024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45646</v>
      </c>
      <c r="E773" s="1" t="n">
        <v>46286</v>
      </c>
      <c r="F773" t="inlineStr">
        <is>
          <t>VÄRMLANDS LÄN</t>
        </is>
      </c>
      <c r="G773" t="inlineStr">
        <is>
          <t>SÄFFLE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27995-2025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45817</v>
      </c>
      <c r="E774" s="1" t="n">
        <v>46286</v>
      </c>
      <c r="F774" t="inlineStr">
        <is>
          <t>VÄRMLANDS LÄN</t>
        </is>
      </c>
      <c r="G774" t="inlineStr">
        <is>
          <t>SÄFFLE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28484-2025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45818</v>
      </c>
      <c r="E775" s="1" t="n">
        <v>46286</v>
      </c>
      <c r="F775" t="inlineStr">
        <is>
          <t>VÄRMLANDS LÄN</t>
        </is>
      </c>
      <c r="G775" t="inlineStr">
        <is>
          <t>SÄFFLE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17431-2025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45757</v>
      </c>
      <c r="E776" s="1" t="n">
        <v>46286</v>
      </c>
      <c r="F776" t="inlineStr">
        <is>
          <t>VÄRMLANDS LÄN</t>
        </is>
      </c>
      <c r="G776" t="inlineStr">
        <is>
          <t>SÄFFLE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45825</v>
      </c>
      <c r="E777" s="1" t="n">
        <v>46286</v>
      </c>
      <c r="F777" t="inlineStr">
        <is>
          <t>VÄRMLANDS LÄN</t>
        </is>
      </c>
      <c r="G777" t="inlineStr">
        <is>
          <t>SÄFFLE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30505-2025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46286</v>
      </c>
      <c r="F778" t="inlineStr">
        <is>
          <t>VÄRMLANDS LÄN</t>
        </is>
      </c>
      <c r="G778" t="inlineStr">
        <is>
          <t>SÄFFLE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30506-2025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46286</v>
      </c>
      <c r="F779" t="inlineStr">
        <is>
          <t>VÄRMLANDS LÄN</t>
        </is>
      </c>
      <c r="G779" t="inlineStr">
        <is>
          <t>SÄFFLE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30508-2025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46286</v>
      </c>
      <c r="F780" t="inlineStr">
        <is>
          <t>VÄRMLANDS LÄN</t>
        </is>
      </c>
      <c r="G780" t="inlineStr">
        <is>
          <t>SÄFFLE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31245-2025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45832</v>
      </c>
      <c r="E781" s="1" t="n">
        <v>46286</v>
      </c>
      <c r="F781" t="inlineStr">
        <is>
          <t>VÄRMLANDS LÄN</t>
        </is>
      </c>
      <c r="G781" t="inlineStr">
        <is>
          <t>SÄFFLE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32162-2025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45835</v>
      </c>
      <c r="E782" s="1" t="n">
        <v>46286</v>
      </c>
      <c r="F782" t="inlineStr">
        <is>
          <t>VÄRMLANDS LÄN</t>
        </is>
      </c>
      <c r="G782" t="inlineStr">
        <is>
          <t>SÄFFLE</t>
        </is>
      </c>
      <c r="H782" t="inlineStr">
        <is>
          <t>Kyrkan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33749-2025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46286</v>
      </c>
      <c r="F783" t="inlineStr">
        <is>
          <t>VÄRMLANDS LÄN</t>
        </is>
      </c>
      <c r="G783" t="inlineStr">
        <is>
          <t>SÄFFLE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33838-2025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45842</v>
      </c>
      <c r="E784" s="1" t="n">
        <v>46286</v>
      </c>
      <c r="F784" t="inlineStr">
        <is>
          <t>VÄRMLANDS LÄN</t>
        </is>
      </c>
      <c r="G784" t="inlineStr">
        <is>
          <t>SÄFFLE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46286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9261-2024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45358</v>
      </c>
      <c r="E786" s="1" t="n">
        <v>46286</v>
      </c>
      <c r="F786" t="inlineStr">
        <is>
          <t>VÄRMLANDS LÄN</t>
        </is>
      </c>
      <c r="G786" t="inlineStr">
        <is>
          <t>SÄFFLE</t>
        </is>
      </c>
      <c r="I786" t="n">
        <v>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31247-2025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45832</v>
      </c>
      <c r="E787" s="1" t="n">
        <v>46286</v>
      </c>
      <c r="F787" t="inlineStr">
        <is>
          <t>VÄRMLANDS LÄN</t>
        </is>
      </c>
      <c r="G787" t="inlineStr">
        <is>
          <t>SÄFFLE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26611-2025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45808</v>
      </c>
      <c r="E788" s="1" t="n">
        <v>46286</v>
      </c>
      <c r="F788" t="inlineStr">
        <is>
          <t>VÄRMLANDS LÄN</t>
        </is>
      </c>
      <c r="G788" t="inlineStr">
        <is>
          <t>SÄFFLE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34583-2025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45847</v>
      </c>
      <c r="E789" s="1" t="n">
        <v>46286</v>
      </c>
      <c r="F789" t="inlineStr">
        <is>
          <t>VÄRMLANDS LÄN</t>
        </is>
      </c>
      <c r="G789" t="inlineStr">
        <is>
          <t>SÄFFLE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34578-2025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45847</v>
      </c>
      <c r="E790" s="1" t="n">
        <v>46286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34580-2025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45847</v>
      </c>
      <c r="E791" s="1" t="n">
        <v>46286</v>
      </c>
      <c r="F791" t="inlineStr">
        <is>
          <t>VÄRMLANDS LÄN</t>
        </is>
      </c>
      <c r="G791" t="inlineStr">
        <is>
          <t>SÄFFLE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34575-2025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45847</v>
      </c>
      <c r="E792" s="1" t="n">
        <v>46286</v>
      </c>
      <c r="F792" t="inlineStr">
        <is>
          <t>VÄRMLANDS LÄN</t>
        </is>
      </c>
      <c r="G792" t="inlineStr">
        <is>
          <t>SÄFFLE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34581-2025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45847</v>
      </c>
      <c r="E793" s="1" t="n">
        <v>46286</v>
      </c>
      <c r="F793" t="inlineStr">
        <is>
          <t>VÄRMLANDS LÄN</t>
        </is>
      </c>
      <c r="G793" t="inlineStr">
        <is>
          <t>SÄFFLE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36642-2025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45871</v>
      </c>
      <c r="E794" s="1" t="n">
        <v>46286</v>
      </c>
      <c r="F794" t="inlineStr">
        <is>
          <t>VÄRMLANDS LÄN</t>
        </is>
      </c>
      <c r="G794" t="inlineStr">
        <is>
          <t>SÄFFLE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36855-2025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45874</v>
      </c>
      <c r="E795" s="1" t="n">
        <v>46286</v>
      </c>
      <c r="F795" t="inlineStr">
        <is>
          <t>VÄRMLANDS LÄN</t>
        </is>
      </c>
      <c r="G795" t="inlineStr">
        <is>
          <t>SÄFFLE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36899-2025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45874</v>
      </c>
      <c r="E796" s="1" t="n">
        <v>46286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2351-2024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45310</v>
      </c>
      <c r="E797" s="1" t="n">
        <v>46286</v>
      </c>
      <c r="F797" t="inlineStr">
        <is>
          <t>VÄRMLANDS LÄN</t>
        </is>
      </c>
      <c r="G797" t="inlineStr">
        <is>
          <t>SÄFFLE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15333-2025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45746</v>
      </c>
      <c r="E798" s="1" t="n">
        <v>46286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36721-2024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45537</v>
      </c>
      <c r="E799" s="1" t="n">
        <v>46286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30808-2024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45497</v>
      </c>
      <c r="E800" s="1" t="n">
        <v>46286</v>
      </c>
      <c r="F800" t="inlineStr">
        <is>
          <t>VÄRMLANDS LÄN</t>
        </is>
      </c>
      <c r="G800" t="inlineStr">
        <is>
          <t>SÄFFLE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19218-2025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45769</v>
      </c>
      <c r="E801" s="1" t="n">
        <v>46286</v>
      </c>
      <c r="F801" t="inlineStr">
        <is>
          <t>VÄRMLANDS LÄN</t>
        </is>
      </c>
      <c r="G801" t="inlineStr">
        <is>
          <t>SÄFFLE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28004-2025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45817</v>
      </c>
      <c r="E802" s="1" t="n">
        <v>46286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37494-2025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45877</v>
      </c>
      <c r="E803" s="1" t="n">
        <v>46286</v>
      </c>
      <c r="F803" t="inlineStr">
        <is>
          <t>VÄRMLANDS LÄN</t>
        </is>
      </c>
      <c r="G803" t="inlineStr">
        <is>
          <t>SÄFFLE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38448-2025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45883</v>
      </c>
      <c r="E804" s="1" t="n">
        <v>46286</v>
      </c>
      <c r="F804" t="inlineStr">
        <is>
          <t>VÄRMLANDS LÄN</t>
        </is>
      </c>
      <c r="G804" t="inlineStr">
        <is>
          <t>SÄFFLE</t>
        </is>
      </c>
      <c r="H804" t="inlineStr">
        <is>
          <t>Kyrkan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46286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10147-2021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46286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7132-2022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46286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46286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10208-2021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46286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46286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46286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600-2024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45351</v>
      </c>
      <c r="E812" s="1" t="n">
        <v>46286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51.1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46286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25.3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45299</v>
      </c>
      <c r="E814" s="1" t="n">
        <v>46286</v>
      </c>
      <c r="F814" t="inlineStr">
        <is>
          <t>VÄRMLANDS LÄN</t>
        </is>
      </c>
      <c r="G814" t="inlineStr">
        <is>
          <t>SÄFFLE</t>
        </is>
      </c>
      <c r="I814" t="n">
        <v>101.3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287-2022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46286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10155-2021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46286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30.8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601-2024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46286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10202-2021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46286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296-2022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46286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46286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46286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46286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46286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46286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46286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2026-09-21T02:04:44Z</dcterms:created>
  <dcterms:modified xmlns:dcterms="http://purl.org/dc/terms/" xmlns:xsi="http://www.w3.org/2001/XMLSchema-instance" xsi:type="dcterms:W3CDTF">2026-09-21T02:04:45Z</dcterms:modified>
</cp:coreProperties>
</file>