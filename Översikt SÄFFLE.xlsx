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46293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46293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46293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46293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46293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46293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46293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46293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46293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46293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46293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46293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46293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46293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46293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60965-2024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46293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HYPERLINK("https://klasma.github.io/Logging_1785/artfynd/A 60965-2024 artfynd.xlsx", "A 60965-2024")</f>
        <v/>
      </c>
      <c r="X23">
        <f>HYPERLINK("https://klasma.github.io/Logging_1785/kartor/A 60965-2024 karta.png", "A 60965-2024")</f>
        <v/>
      </c>
      <c r="Y23">
        <f>HYPERLINK("https://klasma.github.io/Logging_1785/kartor_geotiff/A 60965-2024 georefererad karta.tif", "A 60965-2024")</f>
        <v/>
      </c>
      <c r="AA23">
        <f>HYPERLINK("https://klasma.github.io/Logging_1785/klagomål/A 60965-2024 FSC-klagomål.docx", "A 60965-2024")</f>
        <v/>
      </c>
      <c r="AB23">
        <f>HYPERLINK("https://klasma.github.io/Logging_1785/klagomålsmail/A 60965-2024 FSC-klagomål mail.docx", "A 60965-2024")</f>
        <v/>
      </c>
      <c r="AC23">
        <f>HYPERLINK("https://klasma.github.io/Logging_1785/tillsyn/A 60965-2024 tillsynsbegäran.docx", "A 60965-2024")</f>
        <v/>
      </c>
      <c r="AD23">
        <f>HYPERLINK("https://klasma.github.io/Logging_1785/tillsynsmail/A 60965-2024 tillsynsbegäran mail.docx", "A 60965-2024")</f>
        <v/>
      </c>
    </row>
    <row r="24" ht="15" customHeight="1">
      <c r="A24" t="inlineStr">
        <is>
          <t>A 14738-2024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46293</v>
      </c>
      <c r="F24" t="inlineStr">
        <is>
          <t>VÄRMLANDS LÄN</t>
        </is>
      </c>
      <c r="G24" t="inlineStr">
        <is>
          <t>SÄFFLE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HYPERLINK("https://klasma.github.io/Logging_1785/artfynd/A 14738-2024 artfynd.xlsx", "A 14738-2024")</f>
        <v/>
      </c>
      <c r="X24">
        <f>HYPERLINK("https://klasma.github.io/Logging_1785/kartor/A 14738-2024 karta.png", "A 14738-2024")</f>
        <v/>
      </c>
      <c r="Y24">
        <f>HYPERLINK("https://klasma.github.io/Logging_1785/kartor_geotiff/A 14738-2024 georefererad karta.tif", "A 14738-2024")</f>
        <v/>
      </c>
      <c r="AA24">
        <f>HYPERLINK("https://klasma.github.io/Logging_1785/klagomål/A 14738-2024 FSC-klagomål.docx", "A 14738-2024")</f>
        <v/>
      </c>
      <c r="AB24">
        <f>HYPERLINK("https://klasma.github.io/Logging_1785/klagomålsmail/A 14738-2024 FSC-klagomål mail.docx", "A 14738-2024")</f>
        <v/>
      </c>
      <c r="AC24">
        <f>HYPERLINK("https://klasma.github.io/Logging_1785/tillsyn/A 14738-2024 tillsynsbegäran.docx", "A 14738-2024")</f>
        <v/>
      </c>
      <c r="AD24">
        <f>HYPERLINK("https://klasma.github.io/Logging_1785/tillsynsmail/A 14738-2024 tillsynsbegäran mail.docx", "A 14738-2024")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46293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46293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31226-2025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45832</v>
      </c>
      <c r="E27" s="1" t="n">
        <v>46293</v>
      </c>
      <c r="F27" t="inlineStr">
        <is>
          <t>VÄRMLANDS LÄN</t>
        </is>
      </c>
      <c r="G27" t="inlineStr">
        <is>
          <t>SÄFFLE</t>
        </is>
      </c>
      <c r="I27" t="n">
        <v>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HYPERLINK("https://klasma.github.io/Logging_1785/artfynd/A 31226-2025 artfynd.xlsx", "A 31226-2025")</f>
        <v/>
      </c>
      <c r="X27">
        <f>HYPERLINK("https://klasma.github.io/Logging_1785/kartor/A 31226-2025 karta.png", "A 31226-2025")</f>
        <v/>
      </c>
      <c r="Y27">
        <f>HYPERLINK("https://klasma.github.io/Logging_1785/kartor_geotiff/A 31226-2025 georefererad karta.tif", "A 31226-2025")</f>
        <v/>
      </c>
      <c r="AA27">
        <f>HYPERLINK("https://klasma.github.io/Logging_1785/klagomål/A 31226-2025 FSC-klagomål.docx", "A 31226-2025")</f>
        <v/>
      </c>
      <c r="AB27">
        <f>HYPERLINK("https://klasma.github.io/Logging_1785/klagomålsmail/A 31226-2025 FSC-klagomål mail.docx", "A 31226-2025")</f>
        <v/>
      </c>
      <c r="AC27">
        <f>HYPERLINK("https://klasma.github.io/Logging_1785/tillsyn/A 31226-2025 tillsynsbegäran.docx", "A 31226-2025")</f>
        <v/>
      </c>
      <c r="AD27">
        <f>HYPERLINK("https://klasma.github.io/Logging_1785/tillsynsmail/A 31226-2025 tillsynsbegäran mail.docx", "A 31226-2025")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46293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46293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61612-2024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46293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Jungfrulin</t>
        </is>
      </c>
      <c r="W30">
        <f>HYPERLINK("https://klasma.github.io/Logging_1785/artfynd/A 61612-2024 artfynd.xlsx", "A 61612-2024")</f>
        <v/>
      </c>
      <c r="X30">
        <f>HYPERLINK("https://klasma.github.io/Logging_1785/kartor/A 61612-2024 karta.png", "A 61612-2024")</f>
        <v/>
      </c>
      <c r="Y30">
        <f>HYPERLINK("https://klasma.github.io/Logging_1785/kartor_geotiff/A 61612-2024 georefererad karta.tif", "A 61612-2024")</f>
        <v/>
      </c>
      <c r="AA30">
        <f>HYPERLINK("https://klasma.github.io/Logging_1785/klagomål/A 61612-2024 FSC-klagomål.docx", "A 61612-2024")</f>
        <v/>
      </c>
      <c r="AB30">
        <f>HYPERLINK("https://klasma.github.io/Logging_1785/klagomålsmail/A 61612-2024 FSC-klagomål mail.docx", "A 61612-2024")</f>
        <v/>
      </c>
      <c r="AC30">
        <f>HYPERLINK("https://klasma.github.io/Logging_1785/tillsyn/A 61612-2024 tillsynsbegäran.docx", "A 61612-2024")</f>
        <v/>
      </c>
      <c r="AD30">
        <f>HYPERLINK("https://klasma.github.io/Logging_1785/tillsynsmail/A 61612-2024 tillsynsbegäran mail.docx", "A 61612-2024")</f>
        <v/>
      </c>
    </row>
    <row r="31" ht="15" customHeight="1">
      <c r="A31" t="inlineStr">
        <is>
          <t>A 33538-2025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46293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33538-2025 artfynd.xlsx", "A 33538-2025")</f>
        <v/>
      </c>
      <c r="X31">
        <f>HYPERLINK("https://klasma.github.io/Logging_1785/kartor/A 33538-2025 karta.png", "A 33538-2025")</f>
        <v/>
      </c>
      <c r="Y31">
        <f>HYPERLINK("https://klasma.github.io/Logging_1785/kartor_geotiff/A 33538-2025 georefererad karta.tif", "A 33538-2025")</f>
        <v/>
      </c>
      <c r="AA31">
        <f>HYPERLINK("https://klasma.github.io/Logging_1785/klagomål/A 33538-2025 FSC-klagomål.docx", "A 33538-2025")</f>
        <v/>
      </c>
      <c r="AB31">
        <f>HYPERLINK("https://klasma.github.io/Logging_1785/klagomålsmail/A 33538-2025 FSC-klagomål mail.docx", "A 33538-2025")</f>
        <v/>
      </c>
      <c r="AC31">
        <f>HYPERLINK("https://klasma.github.io/Logging_1785/tillsyn/A 33538-2025 tillsynsbegäran.docx", "A 33538-2025")</f>
        <v/>
      </c>
      <c r="AD31">
        <f>HYPERLINK("https://klasma.github.io/Logging_1785/tillsynsmail/A 33538-2025 tillsynsbegäran mail.docx", "A 33538-2025")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46293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Äkta lopplummer</t>
        </is>
      </c>
      <c r="W32">
        <f>HYPERLINK("https://klasma.github.io/Logging_1785/artfynd/A 18622-2025 artfynd.xlsx", "A 18622-2025")</f>
        <v/>
      </c>
      <c r="X32">
        <f>HYPERLINK("https://klasma.github.io/Logging_1785/kartor/A 18622-2025 karta.png", "A 18622-2025")</f>
        <v/>
      </c>
      <c r="Y32">
        <f>HYPERLINK("https://klasma.github.io/Logging_1785/kartor_geotiff/A 18622-2025 georefererad karta.tif", "A 18622-2025")</f>
        <v/>
      </c>
      <c r="AA32">
        <f>HYPERLINK("https://klasma.github.io/Logging_1785/klagomål/A 18622-2025 FSC-klagomål.docx", "A 18622-2025")</f>
        <v/>
      </c>
      <c r="AB32">
        <f>HYPERLINK("https://klasma.github.io/Logging_1785/klagomålsmail/A 18622-2025 FSC-klagomål mail.docx", "A 18622-2025")</f>
        <v/>
      </c>
      <c r="AC32">
        <f>HYPERLINK("https://klasma.github.io/Logging_1785/tillsyn/A 18622-2025 tillsynsbegäran.docx", "A 18622-2025")</f>
        <v/>
      </c>
      <c r="AD32">
        <f>HYPERLINK("https://klasma.github.io/Logging_1785/tillsynsmail/A 18622-2025 tillsynsbegäran mail.docx", "A 18622-2025")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46293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46293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46293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46293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46293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46293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46293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46293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46293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46293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46293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46293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46293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46293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46293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46293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46293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46293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46293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46293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46293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46293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46293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46293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46293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46293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46293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46293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46293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46293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46293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46293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46293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46293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46293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46293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46293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46293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46293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46293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46293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46293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46293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46293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46293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46293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46293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46293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46293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46293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46293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46293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46293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46293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46293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46293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46293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46293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46293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46293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46293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46293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46293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46293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46293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46293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46293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46293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46293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46293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46293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46293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46293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46293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46293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46293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46293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46293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46293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46293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46293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46293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46293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46293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46293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46293</v>
      </c>
      <c r="F118" t="inlineStr">
        <is>
          <t>VÄRMLANDS LÄN</t>
        </is>
      </c>
      <c r="G118" t="inlineStr">
        <is>
          <t>SÄFFLE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46293</v>
      </c>
      <c r="F119" t="inlineStr">
        <is>
          <t>VÄRMLANDS LÄN</t>
        </is>
      </c>
      <c r="G119" t="inlineStr">
        <is>
          <t>SÄFFLE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46293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45367</v>
      </c>
      <c r="E121" s="1" t="n">
        <v>46293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46293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46293</v>
      </c>
      <c r="F123" t="inlineStr">
        <is>
          <t>VÄRMLANDS LÄN</t>
        </is>
      </c>
      <c r="G123" t="inlineStr">
        <is>
          <t>SÄFFLE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46293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46293</v>
      </c>
      <c r="F125" t="inlineStr">
        <is>
          <t>VÄRMLANDS LÄN</t>
        </is>
      </c>
      <c r="G125" t="inlineStr">
        <is>
          <t>SÄFFLE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46293</v>
      </c>
      <c r="F126" t="inlineStr">
        <is>
          <t>VÄRMLANDS LÄN</t>
        </is>
      </c>
      <c r="G126" t="inlineStr">
        <is>
          <t>SÄFFLE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46293</v>
      </c>
      <c r="F127" t="inlineStr">
        <is>
          <t>VÄRMLANDS LÄN</t>
        </is>
      </c>
      <c r="G127" t="inlineStr">
        <is>
          <t>SÄFFLE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45558</v>
      </c>
      <c r="E128" s="1" t="n">
        <v>46293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46293</v>
      </c>
      <c r="F129" t="inlineStr">
        <is>
          <t>VÄRMLANDS LÄN</t>
        </is>
      </c>
      <c r="G129" t="inlineStr">
        <is>
          <t>SÄFFLE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44868</v>
      </c>
      <c r="E130" s="1" t="n">
        <v>46293</v>
      </c>
      <c r="F130" t="inlineStr">
        <is>
          <t>VÄRMLANDS LÄN</t>
        </is>
      </c>
      <c r="G130" t="inlineStr">
        <is>
          <t>SÄFFLE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23624-2024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45454</v>
      </c>
      <c r="E131" s="1" t="n">
        <v>46293</v>
      </c>
      <c r="F131" t="inlineStr">
        <is>
          <t>VÄRMLANDS LÄN</t>
        </is>
      </c>
      <c r="G131" t="inlineStr">
        <is>
          <t>SÄFFLE</t>
        </is>
      </c>
      <c r="H131" t="inlineStr">
        <is>
          <t>Kommuner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45070</v>
      </c>
      <c r="E132" s="1" t="n">
        <v>46293</v>
      </c>
      <c r="F132" t="inlineStr">
        <is>
          <t>VÄRMLANDS LÄN</t>
        </is>
      </c>
      <c r="G132" t="inlineStr">
        <is>
          <t>SÄFFLE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46293</v>
      </c>
      <c r="F133" t="inlineStr">
        <is>
          <t>VÄRMLANDS LÄN</t>
        </is>
      </c>
      <c r="G133" t="inlineStr">
        <is>
          <t>SÄFFLE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46293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46293</v>
      </c>
      <c r="F135" t="inlineStr">
        <is>
          <t>VÄRMLANDS LÄN</t>
        </is>
      </c>
      <c r="G135" t="inlineStr">
        <is>
          <t>SÄFFLE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46293</v>
      </c>
      <c r="F136" t="inlineStr">
        <is>
          <t>VÄRMLANDS LÄN</t>
        </is>
      </c>
      <c r="G136" t="inlineStr">
        <is>
          <t>SÄFFLE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46293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46293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46293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46293</v>
      </c>
      <c r="F140" t="inlineStr">
        <is>
          <t>VÄRMLANDS LÄN</t>
        </is>
      </c>
      <c r="G140" t="inlineStr">
        <is>
          <t>SÄFFLE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45573</v>
      </c>
      <c r="E141" s="1" t="n">
        <v>46293</v>
      </c>
      <c r="F141" t="inlineStr">
        <is>
          <t>VÄRMLANDS LÄN</t>
        </is>
      </c>
      <c r="G141" t="inlineStr">
        <is>
          <t>SÄFFLE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46293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46293</v>
      </c>
      <c r="F143" t="inlineStr">
        <is>
          <t>VÄRMLANDS LÄN</t>
        </is>
      </c>
      <c r="G143" t="inlineStr">
        <is>
          <t>SÄFFLE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46293</v>
      </c>
      <c r="F144" t="inlineStr">
        <is>
          <t>VÄRMLANDS LÄN</t>
        </is>
      </c>
      <c r="G144" t="inlineStr">
        <is>
          <t>SÄFFLE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46293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46293</v>
      </c>
      <c r="F146" t="inlineStr">
        <is>
          <t>VÄRMLANDS LÄN</t>
        </is>
      </c>
      <c r="G146" t="inlineStr">
        <is>
          <t>SÄFFLE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46293</v>
      </c>
      <c r="F147" t="inlineStr">
        <is>
          <t>VÄRMLANDS LÄN</t>
        </is>
      </c>
      <c r="G147" t="inlineStr">
        <is>
          <t>SÄFFLE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46293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45323</v>
      </c>
      <c r="E149" s="1" t="n">
        <v>46293</v>
      </c>
      <c r="F149" t="inlineStr">
        <is>
          <t>VÄRMLANDS LÄN</t>
        </is>
      </c>
      <c r="G149" t="inlineStr">
        <is>
          <t>SÄFFLE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46293</v>
      </c>
      <c r="F150" t="inlineStr">
        <is>
          <t>VÄRMLANDS LÄN</t>
        </is>
      </c>
      <c r="G150" t="inlineStr">
        <is>
          <t>SÄFFLE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46293</v>
      </c>
      <c r="F151" t="inlineStr">
        <is>
          <t>VÄRMLANDS LÄN</t>
        </is>
      </c>
      <c r="G151" t="inlineStr">
        <is>
          <t>SÄFFLE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46293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46293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46293</v>
      </c>
      <c r="F154" t="inlineStr">
        <is>
          <t>VÄRMLANDS LÄN</t>
        </is>
      </c>
      <c r="G154" t="inlineStr">
        <is>
          <t>SÄFFLE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46293</v>
      </c>
      <c r="F155" t="inlineStr">
        <is>
          <t>VÄRMLANDS LÄN</t>
        </is>
      </c>
      <c r="G155" t="inlineStr">
        <is>
          <t>SÄFFLE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46293</v>
      </c>
      <c r="F156" t="inlineStr">
        <is>
          <t>VÄRMLANDS LÄN</t>
        </is>
      </c>
      <c r="G156" t="inlineStr">
        <is>
          <t>SÄFFLE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46293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46293</v>
      </c>
      <c r="F158" t="inlineStr">
        <is>
          <t>VÄRMLANDS LÄN</t>
        </is>
      </c>
      <c r="G158" t="inlineStr">
        <is>
          <t>SÄFFLE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46293</v>
      </c>
      <c r="F159" t="inlineStr">
        <is>
          <t>VÄRMLANDS LÄN</t>
        </is>
      </c>
      <c r="G159" t="inlineStr">
        <is>
          <t>SÄFFLE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46293</v>
      </c>
      <c r="F160" t="inlineStr">
        <is>
          <t>VÄRMLANDS LÄN</t>
        </is>
      </c>
      <c r="G160" t="inlineStr">
        <is>
          <t>SÄFFLE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46293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46293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46293</v>
      </c>
      <c r="F163" t="inlineStr">
        <is>
          <t>VÄRMLANDS LÄN</t>
        </is>
      </c>
      <c r="G163" t="inlineStr">
        <is>
          <t>SÄFFLE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44512</v>
      </c>
      <c r="E164" s="1" t="n">
        <v>46293</v>
      </c>
      <c r="F164" t="inlineStr">
        <is>
          <t>VÄRMLANDS LÄN</t>
        </is>
      </c>
      <c r="G164" t="inlineStr">
        <is>
          <t>SÄFFLE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46293</v>
      </c>
      <c r="F165" t="inlineStr">
        <is>
          <t>VÄRMLANDS LÄN</t>
        </is>
      </c>
      <c r="G165" t="inlineStr">
        <is>
          <t>SÄFFLE</t>
        </is>
      </c>
      <c r="H165" t="inlineStr">
        <is>
          <t>Kyrkan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46293</v>
      </c>
      <c r="F166" t="inlineStr">
        <is>
          <t>VÄRMLANDS LÄN</t>
        </is>
      </c>
      <c r="G166" t="inlineStr">
        <is>
          <t>SÄFFLE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46293</v>
      </c>
      <c r="F167" t="inlineStr">
        <is>
          <t>VÄRMLANDS LÄN</t>
        </is>
      </c>
      <c r="G167" t="inlineStr">
        <is>
          <t>SÄFFLE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46293</v>
      </c>
      <c r="F168" t="inlineStr">
        <is>
          <t>VÄRMLANDS LÄN</t>
        </is>
      </c>
      <c r="G168" t="inlineStr">
        <is>
          <t>SÄFFLE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46293</v>
      </c>
      <c r="F169" t="inlineStr">
        <is>
          <t>VÄRMLANDS LÄN</t>
        </is>
      </c>
      <c r="G169" t="inlineStr">
        <is>
          <t>SÄFFLE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46293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46293</v>
      </c>
      <c r="F171" t="inlineStr">
        <is>
          <t>VÄRMLANDS LÄN</t>
        </is>
      </c>
      <c r="G171" t="inlineStr">
        <is>
          <t>SÄFFLE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19385-2024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45428</v>
      </c>
      <c r="E172" s="1" t="n">
        <v>46293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39985-2025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45893</v>
      </c>
      <c r="E173" s="1" t="n">
        <v>46293</v>
      </c>
      <c r="F173" t="inlineStr">
        <is>
          <t>VÄRMLANDS LÄN</t>
        </is>
      </c>
      <c r="G173" t="inlineStr">
        <is>
          <t>SÄFFLE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45893</v>
      </c>
      <c r="E174" s="1" t="n">
        <v>46293</v>
      </c>
      <c r="F174" t="inlineStr">
        <is>
          <t>VÄRMLANDS LÄN</t>
        </is>
      </c>
      <c r="G174" t="inlineStr">
        <is>
          <t>SÄFFLE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46293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39984-2025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45893</v>
      </c>
      <c r="E176" s="1" t="n">
        <v>46293</v>
      </c>
      <c r="F176" t="inlineStr">
        <is>
          <t>VÄRMLANDS LÄN</t>
        </is>
      </c>
      <c r="G176" t="inlineStr">
        <is>
          <t>SÄFFLE</t>
        </is>
      </c>
      <c r="I176" t="n">
        <v>12.9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39986-2025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45893</v>
      </c>
      <c r="E177" s="1" t="n">
        <v>46293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44564</v>
      </c>
      <c r="E178" s="1" t="n">
        <v>46293</v>
      </c>
      <c r="F178" t="inlineStr">
        <is>
          <t>VÄRMLANDS LÄN</t>
        </is>
      </c>
      <c r="G178" t="inlineStr">
        <is>
          <t>SÄFFLE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46293</v>
      </c>
      <c r="F179" t="inlineStr">
        <is>
          <t>VÄRMLANDS LÄN</t>
        </is>
      </c>
      <c r="G179" t="inlineStr">
        <is>
          <t>SÄFFLE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45631</v>
      </c>
      <c r="E180" s="1" t="n">
        <v>46293</v>
      </c>
      <c r="F180" t="inlineStr">
        <is>
          <t>VÄRMLANDS LÄN</t>
        </is>
      </c>
      <c r="G180" t="inlineStr">
        <is>
          <t>SÄFFLE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46293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19506-2023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45050</v>
      </c>
      <c r="E182" s="1" t="n">
        <v>46293</v>
      </c>
      <c r="F182" t="inlineStr">
        <is>
          <t>VÄRMLANDS LÄN</t>
        </is>
      </c>
      <c r="G182" t="inlineStr">
        <is>
          <t>SÄFFLE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19508-2023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45050</v>
      </c>
      <c r="E183" s="1" t="n">
        <v>46293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46293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46293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46293</v>
      </c>
      <c r="F186" t="inlineStr">
        <is>
          <t>VÄRMLANDS LÄN</t>
        </is>
      </c>
      <c r="G186" t="inlineStr">
        <is>
          <t>SÄFFLE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46293</v>
      </c>
      <c r="F187" t="inlineStr">
        <is>
          <t>VÄRMLANDS LÄN</t>
        </is>
      </c>
      <c r="G187" t="inlineStr">
        <is>
          <t>SÄFFLE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46293</v>
      </c>
      <c r="F188" t="inlineStr">
        <is>
          <t>VÄRMLANDS LÄN</t>
        </is>
      </c>
      <c r="G188" t="inlineStr">
        <is>
          <t>SÄFFLE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46293</v>
      </c>
      <c r="F189" t="inlineStr">
        <is>
          <t>VÄRMLANDS LÄN</t>
        </is>
      </c>
      <c r="G189" t="inlineStr">
        <is>
          <t>SÄFFLE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46293</v>
      </c>
      <c r="F190" t="inlineStr">
        <is>
          <t>VÄRMLANDS LÄN</t>
        </is>
      </c>
      <c r="G190" t="inlineStr">
        <is>
          <t>SÄFFLE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46293</v>
      </c>
      <c r="F191" t="inlineStr">
        <is>
          <t>VÄRMLANDS LÄN</t>
        </is>
      </c>
      <c r="G191" t="inlineStr">
        <is>
          <t>SÄFFLE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46293</v>
      </c>
      <c r="F192" t="inlineStr">
        <is>
          <t>VÄRMLANDS LÄN</t>
        </is>
      </c>
      <c r="G192" t="inlineStr">
        <is>
          <t>SÄFFLE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46046</v>
      </c>
      <c r="E193" s="1" t="n">
        <v>46293</v>
      </c>
      <c r="F193" t="inlineStr">
        <is>
          <t>VÄRMLANDS LÄN</t>
        </is>
      </c>
      <c r="G193" t="inlineStr">
        <is>
          <t>SÄFFLE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46293</v>
      </c>
      <c r="F194" t="inlineStr">
        <is>
          <t>VÄRMLANDS LÄN</t>
        </is>
      </c>
      <c r="G194" t="inlineStr">
        <is>
          <t>SÄFFLE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46046</v>
      </c>
      <c r="E195" s="1" t="n">
        <v>46293</v>
      </c>
      <c r="F195" t="inlineStr">
        <is>
          <t>VÄRMLANDS LÄN</t>
        </is>
      </c>
      <c r="G195" t="inlineStr">
        <is>
          <t>SÄFFLE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46293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46293</v>
      </c>
      <c r="F197" t="inlineStr">
        <is>
          <t>VÄRMLANDS LÄN</t>
        </is>
      </c>
      <c r="G197" t="inlineStr">
        <is>
          <t>SÄFFLE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44876</v>
      </c>
      <c r="E198" s="1" t="n">
        <v>46293</v>
      </c>
      <c r="F198" t="inlineStr">
        <is>
          <t>VÄRMLANDS LÄN</t>
        </is>
      </c>
      <c r="G198" t="inlineStr">
        <is>
          <t>SÄFFLE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46293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46045</v>
      </c>
      <c r="E200" s="1" t="n">
        <v>46293</v>
      </c>
      <c r="F200" t="inlineStr">
        <is>
          <t>VÄRMLANDS LÄN</t>
        </is>
      </c>
      <c r="G200" t="inlineStr">
        <is>
          <t>SÄFFLE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46293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46045</v>
      </c>
      <c r="E202" s="1" t="n">
        <v>46293</v>
      </c>
      <c r="F202" t="inlineStr">
        <is>
          <t>VÄRMLANDS LÄN</t>
        </is>
      </c>
      <c r="G202" t="inlineStr">
        <is>
          <t>SÄFFLE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46293</v>
      </c>
      <c r="F203" t="inlineStr">
        <is>
          <t>VÄRMLANDS LÄN</t>
        </is>
      </c>
      <c r="G203" t="inlineStr">
        <is>
          <t>SÄFFLE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46293</v>
      </c>
      <c r="F204" t="inlineStr">
        <is>
          <t>VÄRMLANDS LÄN</t>
        </is>
      </c>
      <c r="G204" t="inlineStr">
        <is>
          <t>SÄFFLE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46293</v>
      </c>
      <c r="F205" t="inlineStr">
        <is>
          <t>VÄRMLANDS LÄN</t>
        </is>
      </c>
      <c r="G205" t="inlineStr">
        <is>
          <t>SÄFFLE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46293</v>
      </c>
      <c r="F206" t="inlineStr">
        <is>
          <t>VÄRMLANDS LÄN</t>
        </is>
      </c>
      <c r="G206" t="inlineStr">
        <is>
          <t>SÄFFLE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46293</v>
      </c>
      <c r="F207" t="inlineStr">
        <is>
          <t>VÄRMLANDS LÄN</t>
        </is>
      </c>
      <c r="G207" t="inlineStr">
        <is>
          <t>SÄFFLE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46293</v>
      </c>
      <c r="F208" t="inlineStr">
        <is>
          <t>VÄRMLANDS LÄN</t>
        </is>
      </c>
      <c r="G208" t="inlineStr">
        <is>
          <t>SÄFFLE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46293</v>
      </c>
      <c r="F209" t="inlineStr">
        <is>
          <t>VÄRMLANDS LÄN</t>
        </is>
      </c>
      <c r="G209" t="inlineStr">
        <is>
          <t>SÄFFLE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46293</v>
      </c>
      <c r="F210" t="inlineStr">
        <is>
          <t>VÄRMLANDS LÄN</t>
        </is>
      </c>
      <c r="G210" t="inlineStr">
        <is>
          <t>SÄFFLE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46293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46293</v>
      </c>
      <c r="F212" t="inlineStr">
        <is>
          <t>VÄRMLANDS LÄN</t>
        </is>
      </c>
      <c r="G212" t="inlineStr">
        <is>
          <t>SÄFFLE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46293</v>
      </c>
      <c r="F213" t="inlineStr">
        <is>
          <t>VÄRMLANDS LÄN</t>
        </is>
      </c>
      <c r="G213" t="inlineStr">
        <is>
          <t>SÄFFLE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46293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43209-2025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45910</v>
      </c>
      <c r="E215" s="1" t="n">
        <v>46293</v>
      </c>
      <c r="F215" t="inlineStr">
        <is>
          <t>VÄRMLANDS LÄN</t>
        </is>
      </c>
      <c r="G215" t="inlineStr">
        <is>
          <t>SÄFFLE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46293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46293</v>
      </c>
      <c r="F217" t="inlineStr">
        <is>
          <t>VÄRMLANDS LÄN</t>
        </is>
      </c>
      <c r="G217" t="inlineStr">
        <is>
          <t>SÄFFLE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46293</v>
      </c>
      <c r="F218" t="inlineStr">
        <is>
          <t>VÄRMLANDS LÄN</t>
        </is>
      </c>
      <c r="G218" t="inlineStr">
        <is>
          <t>SÄFFLE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46293</v>
      </c>
      <c r="F219" t="inlineStr">
        <is>
          <t>VÄRMLANDS LÄN</t>
        </is>
      </c>
      <c r="G219" t="inlineStr">
        <is>
          <t>SÄFFLE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45343</v>
      </c>
      <c r="E220" s="1" t="n">
        <v>46293</v>
      </c>
      <c r="F220" t="inlineStr">
        <is>
          <t>VÄRMLANDS LÄN</t>
        </is>
      </c>
      <c r="G220" t="inlineStr">
        <is>
          <t>SÄFFLE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44627</v>
      </c>
      <c r="E221" s="1" t="n">
        <v>46293</v>
      </c>
      <c r="F221" t="inlineStr">
        <is>
          <t>VÄRMLANDS LÄN</t>
        </is>
      </c>
      <c r="G221" t="inlineStr">
        <is>
          <t>SÄFFLE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46293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46293</v>
      </c>
      <c r="F223" t="inlineStr">
        <is>
          <t>VÄRMLANDS LÄN</t>
        </is>
      </c>
      <c r="G223" t="inlineStr">
        <is>
          <t>SÄFFLE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46293</v>
      </c>
      <c r="F224" t="inlineStr">
        <is>
          <t>VÄRMLANDS LÄN</t>
        </is>
      </c>
      <c r="G224" t="inlineStr">
        <is>
          <t>SÄFFLE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46293</v>
      </c>
      <c r="F225" t="inlineStr">
        <is>
          <t>VÄRMLANDS LÄN</t>
        </is>
      </c>
      <c r="G225" t="inlineStr">
        <is>
          <t>SÄFFLE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46293</v>
      </c>
      <c r="F226" t="inlineStr">
        <is>
          <t>VÄRMLANDS LÄN</t>
        </is>
      </c>
      <c r="G226" t="inlineStr">
        <is>
          <t>SÄFFLE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46293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46293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44720</v>
      </c>
      <c r="E229" s="1" t="n">
        <v>46293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46293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46293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46293</v>
      </c>
      <c r="F232" t="inlineStr">
        <is>
          <t>VÄRMLANDS LÄN</t>
        </is>
      </c>
      <c r="G232" t="inlineStr">
        <is>
          <t>SÄFFLE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46293</v>
      </c>
      <c r="F233" t="inlineStr">
        <is>
          <t>VÄRMLANDS LÄN</t>
        </is>
      </c>
      <c r="G233" t="inlineStr">
        <is>
          <t>SÄFFLE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46293</v>
      </c>
      <c r="F234" t="inlineStr">
        <is>
          <t>VÄRMLANDS LÄN</t>
        </is>
      </c>
      <c r="G234" t="inlineStr">
        <is>
          <t>SÄFFLE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46293</v>
      </c>
      <c r="F235" t="inlineStr">
        <is>
          <t>VÄRMLANDS LÄN</t>
        </is>
      </c>
      <c r="G235" t="inlineStr">
        <is>
          <t>SÄFFLE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46391-2025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45925</v>
      </c>
      <c r="E236" s="1" t="n">
        <v>46293</v>
      </c>
      <c r="F236" t="inlineStr">
        <is>
          <t>VÄRMLANDS LÄN</t>
        </is>
      </c>
      <c r="G236" t="inlineStr">
        <is>
          <t>SÄFFLE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46293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46293</v>
      </c>
      <c r="F238" t="inlineStr">
        <is>
          <t>VÄRMLANDS LÄN</t>
        </is>
      </c>
      <c r="G238" t="inlineStr">
        <is>
          <t>SÄFFLE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46293</v>
      </c>
      <c r="F239" t="inlineStr">
        <is>
          <t>VÄRMLANDS LÄN</t>
        </is>
      </c>
      <c r="G239" t="inlineStr">
        <is>
          <t>SÄFFLE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46293</v>
      </c>
      <c r="F240" t="inlineStr">
        <is>
          <t>VÄRMLANDS LÄN</t>
        </is>
      </c>
      <c r="G240" t="inlineStr">
        <is>
          <t>SÄFFLE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46293</v>
      </c>
      <c r="F241" t="inlineStr">
        <is>
          <t>VÄRMLANDS LÄN</t>
        </is>
      </c>
      <c r="G241" t="inlineStr">
        <is>
          <t>SÄFFLE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46293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46293</v>
      </c>
      <c r="F243" t="inlineStr">
        <is>
          <t>VÄRMLANDS LÄN</t>
        </is>
      </c>
      <c r="G243" t="inlineStr">
        <is>
          <t>SÄFFLE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46293</v>
      </c>
      <c r="F244" t="inlineStr">
        <is>
          <t>VÄRMLANDS LÄN</t>
        </is>
      </c>
      <c r="G244" t="inlineStr">
        <is>
          <t>SÄFFLE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46293</v>
      </c>
      <c r="F245" t="inlineStr">
        <is>
          <t>VÄRMLANDS LÄN</t>
        </is>
      </c>
      <c r="G245" t="inlineStr">
        <is>
          <t>SÄFFLE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46293</v>
      </c>
      <c r="F246" t="inlineStr">
        <is>
          <t>VÄRMLANDS LÄN</t>
        </is>
      </c>
      <c r="G246" t="inlineStr">
        <is>
          <t>SÄFFLE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46293</v>
      </c>
      <c r="F247" t="inlineStr">
        <is>
          <t>VÄRMLANDS LÄN</t>
        </is>
      </c>
      <c r="G247" t="inlineStr">
        <is>
          <t>SÄFFLE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46293</v>
      </c>
      <c r="F248" t="inlineStr">
        <is>
          <t>VÄRMLANDS LÄN</t>
        </is>
      </c>
      <c r="G248" t="inlineStr">
        <is>
          <t>SÄFFLE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46293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46293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46293</v>
      </c>
      <c r="F251" t="inlineStr">
        <is>
          <t>VÄRMLANDS LÄN</t>
        </is>
      </c>
      <c r="G251" t="inlineStr">
        <is>
          <t>SÄFFLE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46293</v>
      </c>
      <c r="F252" t="inlineStr">
        <is>
          <t>VÄRMLANDS LÄN</t>
        </is>
      </c>
      <c r="G252" t="inlineStr">
        <is>
          <t>SÄFFLE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46293</v>
      </c>
      <c r="F253" t="inlineStr">
        <is>
          <t>VÄRMLANDS LÄN</t>
        </is>
      </c>
      <c r="G253" t="inlineStr">
        <is>
          <t>SÄFFLE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46293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46293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9252-2024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45358</v>
      </c>
      <c r="E256" s="1" t="n">
        <v>46293</v>
      </c>
      <c r="F256" t="inlineStr">
        <is>
          <t>VÄRMLANDS LÄN</t>
        </is>
      </c>
      <c r="G256" t="inlineStr">
        <is>
          <t>SÄFFLE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46293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46293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46087</v>
      </c>
      <c r="E259" s="1" t="n">
        <v>46293</v>
      </c>
      <c r="F259" t="inlineStr">
        <is>
          <t>VÄRMLANDS LÄN</t>
        </is>
      </c>
      <c r="G259" t="inlineStr">
        <is>
          <t>SÄFFLE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46293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46293</v>
      </c>
      <c r="F261" t="inlineStr">
        <is>
          <t>VÄRMLANDS LÄN</t>
        </is>
      </c>
      <c r="G261" t="inlineStr">
        <is>
          <t>SÄFFLE</t>
        </is>
      </c>
      <c r="I261" t="n">
        <v>12.7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46293</v>
      </c>
      <c r="F262" t="inlineStr">
        <is>
          <t>VÄRMLANDS LÄN</t>
        </is>
      </c>
      <c r="G262" t="inlineStr">
        <is>
          <t>SÄFFLE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46293</v>
      </c>
      <c r="F263" t="inlineStr">
        <is>
          <t>VÄRMLANDS LÄN</t>
        </is>
      </c>
      <c r="G263" t="inlineStr">
        <is>
          <t>SÄFFLE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12187-2026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46086</v>
      </c>
      <c r="E264" s="1" t="n">
        <v>46293</v>
      </c>
      <c r="F264" t="inlineStr">
        <is>
          <t>VÄRMLANDS LÄN</t>
        </is>
      </c>
      <c r="G264" t="inlineStr">
        <is>
          <t>SÄFFLE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46293</v>
      </c>
      <c r="F265" t="inlineStr">
        <is>
          <t>VÄRMLANDS LÄN</t>
        </is>
      </c>
      <c r="G265" t="inlineStr">
        <is>
          <t>SÄFFLE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46293</v>
      </c>
      <c r="F266" t="inlineStr">
        <is>
          <t>VÄRMLANDS LÄN</t>
        </is>
      </c>
      <c r="G266" t="inlineStr">
        <is>
          <t>SÄFFLE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46293</v>
      </c>
      <c r="F267" t="inlineStr">
        <is>
          <t>VÄRMLANDS LÄN</t>
        </is>
      </c>
      <c r="G267" t="inlineStr">
        <is>
          <t>SÄFFLE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45503</v>
      </c>
      <c r="E268" s="1" t="n">
        <v>46293</v>
      </c>
      <c r="F268" t="inlineStr">
        <is>
          <t>VÄRMLANDS LÄN</t>
        </is>
      </c>
      <c r="G268" t="inlineStr">
        <is>
          <t>SÄFFLE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46293</v>
      </c>
      <c r="F269" t="inlineStr">
        <is>
          <t>VÄRMLANDS LÄN</t>
        </is>
      </c>
      <c r="G269" t="inlineStr">
        <is>
          <t>SÄFFLE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46293</v>
      </c>
      <c r="F270" t="inlineStr">
        <is>
          <t>VÄRMLANDS LÄN</t>
        </is>
      </c>
      <c r="G270" t="inlineStr">
        <is>
          <t>SÄFFLE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46293</v>
      </c>
      <c r="F271" t="inlineStr">
        <is>
          <t>VÄRMLANDS LÄN</t>
        </is>
      </c>
      <c r="G271" t="inlineStr">
        <is>
          <t>SÄFFLE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46293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46293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46293</v>
      </c>
      <c r="F274" t="inlineStr">
        <is>
          <t>VÄRMLANDS LÄN</t>
        </is>
      </c>
      <c r="G274" t="inlineStr">
        <is>
          <t>SÄFFLE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46293</v>
      </c>
      <c r="F275" t="inlineStr">
        <is>
          <t>VÄRMLANDS LÄN</t>
        </is>
      </c>
      <c r="G275" t="inlineStr">
        <is>
          <t>SÄFFLE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46293</v>
      </c>
      <c r="F276" t="inlineStr">
        <is>
          <t>VÄRMLANDS LÄN</t>
        </is>
      </c>
      <c r="G276" t="inlineStr">
        <is>
          <t>SÄFFLE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46293</v>
      </c>
      <c r="F277" t="inlineStr">
        <is>
          <t>VÄRMLANDS LÄN</t>
        </is>
      </c>
      <c r="G277" t="inlineStr">
        <is>
          <t>SÄFFLE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46293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46293</v>
      </c>
      <c r="F279" t="inlineStr">
        <is>
          <t>VÄRMLANDS LÄN</t>
        </is>
      </c>
      <c r="G279" t="inlineStr">
        <is>
          <t>SÄFFLE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46293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46293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46293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44745</v>
      </c>
      <c r="E283" s="1" t="n">
        <v>46293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46293</v>
      </c>
      <c r="F284" t="inlineStr">
        <is>
          <t>VÄRMLANDS LÄN</t>
        </is>
      </c>
      <c r="G284" t="inlineStr">
        <is>
          <t>SÄFFLE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46293</v>
      </c>
      <c r="F285" t="inlineStr">
        <is>
          <t>VÄRMLANDS LÄN</t>
        </is>
      </c>
      <c r="G285" t="inlineStr">
        <is>
          <t>SÄFFLE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46293</v>
      </c>
      <c r="F286" t="inlineStr">
        <is>
          <t>VÄRMLANDS LÄN</t>
        </is>
      </c>
      <c r="G286" t="inlineStr">
        <is>
          <t>SÄFFLE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46293</v>
      </c>
      <c r="F287" t="inlineStr">
        <is>
          <t>VÄRMLANDS LÄN</t>
        </is>
      </c>
      <c r="G287" t="inlineStr">
        <is>
          <t>SÄFFLE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46293</v>
      </c>
      <c r="F288" t="inlineStr">
        <is>
          <t>VÄRMLANDS LÄN</t>
        </is>
      </c>
      <c r="G288" t="inlineStr">
        <is>
          <t>SÄFFLE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46293</v>
      </c>
      <c r="F289" t="inlineStr">
        <is>
          <t>VÄRMLANDS LÄN</t>
        </is>
      </c>
      <c r="G289" t="inlineStr">
        <is>
          <t>SÄFFLE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46293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46293</v>
      </c>
      <c r="F291" t="inlineStr">
        <is>
          <t>VÄRMLANDS LÄN</t>
        </is>
      </c>
      <c r="G291" t="inlineStr">
        <is>
          <t>SÄFFLE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44679</v>
      </c>
      <c r="E292" s="1" t="n">
        <v>46293</v>
      </c>
      <c r="F292" t="inlineStr">
        <is>
          <t>VÄRMLANDS LÄN</t>
        </is>
      </c>
      <c r="G292" t="inlineStr">
        <is>
          <t>SÄFFLE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46293</v>
      </c>
      <c r="F293" t="inlineStr">
        <is>
          <t>VÄRMLANDS LÄN</t>
        </is>
      </c>
      <c r="G293" t="inlineStr">
        <is>
          <t>SÄFFLE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51269-2025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45949</v>
      </c>
      <c r="E294" s="1" t="n">
        <v>46293</v>
      </c>
      <c r="F294" t="inlineStr">
        <is>
          <t>VÄRMLANDS LÄN</t>
        </is>
      </c>
      <c r="G294" t="inlineStr">
        <is>
          <t>SÄFFLE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46293</v>
      </c>
      <c r="F295" t="inlineStr">
        <is>
          <t>VÄRMLANDS LÄN</t>
        </is>
      </c>
      <c r="G295" t="inlineStr">
        <is>
          <t>SÄFFLE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46293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46293</v>
      </c>
      <c r="F297" t="inlineStr">
        <is>
          <t>VÄRMLANDS LÄN</t>
        </is>
      </c>
      <c r="G297" t="inlineStr">
        <is>
          <t>SÄFFLE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14994-2026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46104</v>
      </c>
      <c r="E298" s="1" t="n">
        <v>46293</v>
      </c>
      <c r="F298" t="inlineStr">
        <is>
          <t>VÄRMLANDS LÄN</t>
        </is>
      </c>
      <c r="G298" t="inlineStr">
        <is>
          <t>SÄFFLE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46293</v>
      </c>
      <c r="F299" t="inlineStr">
        <is>
          <t>VÄRMLANDS LÄN</t>
        </is>
      </c>
      <c r="G299" t="inlineStr">
        <is>
          <t>SÄFFLE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46293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46293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46293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46293</v>
      </c>
      <c r="F303" t="inlineStr">
        <is>
          <t>VÄRMLANDS LÄN</t>
        </is>
      </c>
      <c r="G303" t="inlineStr">
        <is>
          <t>SÄFFLE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46293</v>
      </c>
      <c r="F304" t="inlineStr">
        <is>
          <t>VÄRMLANDS LÄN</t>
        </is>
      </c>
      <c r="G304" t="inlineStr">
        <is>
          <t>SÄFFLE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46293</v>
      </c>
      <c r="F305" t="inlineStr">
        <is>
          <t>VÄRMLANDS LÄN</t>
        </is>
      </c>
      <c r="G305" t="inlineStr">
        <is>
          <t>SÄFFLE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46293</v>
      </c>
      <c r="F306" t="inlineStr">
        <is>
          <t>VÄRMLANDS LÄN</t>
        </is>
      </c>
      <c r="G306" t="inlineStr">
        <is>
          <t>SÄFFLE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46293</v>
      </c>
      <c r="F307" t="inlineStr">
        <is>
          <t>VÄRMLANDS LÄN</t>
        </is>
      </c>
      <c r="G307" t="inlineStr">
        <is>
          <t>SÄFFLE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46293</v>
      </c>
      <c r="F308" t="inlineStr">
        <is>
          <t>VÄRMLANDS LÄN</t>
        </is>
      </c>
      <c r="G308" t="inlineStr">
        <is>
          <t>SÄFFLE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46293</v>
      </c>
      <c r="F309" t="inlineStr">
        <is>
          <t>VÄRMLANDS LÄN</t>
        </is>
      </c>
      <c r="G309" t="inlineStr">
        <is>
          <t>SÄFFLE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46293</v>
      </c>
      <c r="F310" t="inlineStr">
        <is>
          <t>VÄRMLANDS LÄN</t>
        </is>
      </c>
      <c r="G310" t="inlineStr">
        <is>
          <t>SÄFFLE</t>
        </is>
      </c>
      <c r="H310" t="inlineStr">
        <is>
          <t>Kommuner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46293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46293</v>
      </c>
      <c r="F312" t="inlineStr">
        <is>
          <t>VÄRMLANDS LÄN</t>
        </is>
      </c>
      <c r="G312" t="inlineStr">
        <is>
          <t>SÄFFLE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46293</v>
      </c>
      <c r="F313" t="inlineStr">
        <is>
          <t>VÄRMLANDS LÄN</t>
        </is>
      </c>
      <c r="G313" t="inlineStr">
        <is>
          <t>SÄFFLE</t>
        </is>
      </c>
      <c r="H313" t="inlineStr">
        <is>
          <t>Bergvik skog väst AB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46293</v>
      </c>
      <c r="F314" t="inlineStr">
        <is>
          <t>VÄRMLANDS LÄN</t>
        </is>
      </c>
      <c r="G314" t="inlineStr">
        <is>
          <t>SÄFFLE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46293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46293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17258-2026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46119</v>
      </c>
      <c r="E317" s="1" t="n">
        <v>46293</v>
      </c>
      <c r="F317" t="inlineStr">
        <is>
          <t>VÄRMLANDS LÄN</t>
        </is>
      </c>
      <c r="G317" t="inlineStr">
        <is>
          <t>SÄFFLE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45575</v>
      </c>
      <c r="E318" s="1" t="n">
        <v>46293</v>
      </c>
      <c r="F318" t="inlineStr">
        <is>
          <t>VÄRMLANDS LÄN</t>
        </is>
      </c>
      <c r="G318" t="inlineStr">
        <is>
          <t>SÄFFLE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46293</v>
      </c>
      <c r="F319" t="inlineStr">
        <is>
          <t>VÄRMLANDS LÄN</t>
        </is>
      </c>
      <c r="G319" t="inlineStr">
        <is>
          <t>SÄFFLE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53888-2025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45961</v>
      </c>
      <c r="E320" s="1" t="n">
        <v>46293</v>
      </c>
      <c r="F320" t="inlineStr">
        <is>
          <t>VÄRMLANDS LÄN</t>
        </is>
      </c>
      <c r="G320" t="inlineStr">
        <is>
          <t>SÄFFLE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46293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43099-2024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45567</v>
      </c>
      <c r="E322" s="1" t="n">
        <v>46293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46293</v>
      </c>
      <c r="F323" t="inlineStr">
        <is>
          <t>VÄRMLANDS LÄN</t>
        </is>
      </c>
      <c r="G323" t="inlineStr">
        <is>
          <t>SÄFFLE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46293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46293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46293</v>
      </c>
      <c r="F326" t="inlineStr">
        <is>
          <t>VÄRMLANDS LÄN</t>
        </is>
      </c>
      <c r="G326" t="inlineStr">
        <is>
          <t>SÄFFLE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46293</v>
      </c>
      <c r="F327" t="inlineStr">
        <is>
          <t>VÄRMLANDS LÄN</t>
        </is>
      </c>
      <c r="G327" t="inlineStr">
        <is>
          <t>SÄFFLE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46293</v>
      </c>
      <c r="F328" t="inlineStr">
        <is>
          <t>VÄRMLANDS LÄN</t>
        </is>
      </c>
      <c r="G328" t="inlineStr">
        <is>
          <t>SÄFFLE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46293</v>
      </c>
      <c r="F329" t="inlineStr">
        <is>
          <t>VÄRMLANDS LÄN</t>
        </is>
      </c>
      <c r="G329" t="inlineStr">
        <is>
          <t>SÄFFLE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46293</v>
      </c>
      <c r="F330" t="inlineStr">
        <is>
          <t>VÄRMLANDS LÄN</t>
        </is>
      </c>
      <c r="G330" t="inlineStr">
        <is>
          <t>SÄFFLE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46293</v>
      </c>
      <c r="F331" t="inlineStr">
        <is>
          <t>VÄRMLANDS LÄN</t>
        </is>
      </c>
      <c r="G331" t="inlineStr">
        <is>
          <t>SÄFFLE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63787-2021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46293</v>
      </c>
      <c r="F332" t="inlineStr">
        <is>
          <t>VÄRMLANDS LÄN</t>
        </is>
      </c>
      <c r="G332" t="inlineStr">
        <is>
          <t>SÄFFLE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46293</v>
      </c>
      <c r="F333" t="inlineStr">
        <is>
          <t>VÄRMLANDS LÄN</t>
        </is>
      </c>
      <c r="G333" t="inlineStr">
        <is>
          <t>SÄFFLE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46293</v>
      </c>
      <c r="F334" t="inlineStr">
        <is>
          <t>VÄRMLANDS LÄN</t>
        </is>
      </c>
      <c r="G334" t="inlineStr">
        <is>
          <t>SÄFFLE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46293</v>
      </c>
      <c r="F335" t="inlineStr">
        <is>
          <t>VÄRMLANDS LÄN</t>
        </is>
      </c>
      <c r="G335" t="inlineStr">
        <is>
          <t>SÄFFLE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56684-2025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45975</v>
      </c>
      <c r="E336" s="1" t="n">
        <v>46293</v>
      </c>
      <c r="F336" t="inlineStr">
        <is>
          <t>VÄRMLANDS LÄN</t>
        </is>
      </c>
      <c r="G336" t="inlineStr">
        <is>
          <t>SÄFFLE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46293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46293</v>
      </c>
      <c r="F338" t="inlineStr">
        <is>
          <t>VÄRMLANDS LÄN</t>
        </is>
      </c>
      <c r="G338" t="inlineStr">
        <is>
          <t>SÄFFLE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46293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46293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46293</v>
      </c>
      <c r="F341" t="inlineStr">
        <is>
          <t>VÄRMLANDS LÄN</t>
        </is>
      </c>
      <c r="G341" t="inlineStr">
        <is>
          <t>SÄFFLE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46293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46293</v>
      </c>
      <c r="F343" t="inlineStr">
        <is>
          <t>VÄRMLANDS LÄN</t>
        </is>
      </c>
      <c r="G343" t="inlineStr">
        <is>
          <t>SÄFFLE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45983</v>
      </c>
      <c r="E344" s="1" t="n">
        <v>46293</v>
      </c>
      <c r="F344" t="inlineStr">
        <is>
          <t>VÄRMLANDS LÄN</t>
        </is>
      </c>
      <c r="G344" t="inlineStr">
        <is>
          <t>SÄFFLE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46293</v>
      </c>
      <c r="F345" t="inlineStr">
        <is>
          <t>VÄRMLANDS LÄN</t>
        </is>
      </c>
      <c r="G345" t="inlineStr">
        <is>
          <t>SÄFFLE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46293</v>
      </c>
      <c r="F346" t="inlineStr">
        <is>
          <t>VÄRMLANDS LÄN</t>
        </is>
      </c>
      <c r="G346" t="inlineStr">
        <is>
          <t>SÄFFLE</t>
        </is>
      </c>
      <c r="I346" t="n">
        <v>46.5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46293</v>
      </c>
      <c r="F347" t="inlineStr">
        <is>
          <t>VÄRMLANDS LÄN</t>
        </is>
      </c>
      <c r="G347" t="inlineStr">
        <is>
          <t>SÄFFLE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46293</v>
      </c>
      <c r="F348" t="inlineStr">
        <is>
          <t>VÄRMLANDS LÄN</t>
        </is>
      </c>
      <c r="G348" t="inlineStr">
        <is>
          <t>SÄFFLE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46293</v>
      </c>
      <c r="F349" t="inlineStr">
        <is>
          <t>VÄRMLANDS LÄN</t>
        </is>
      </c>
      <c r="G349" t="inlineStr">
        <is>
          <t>SÄFFLE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44762</v>
      </c>
      <c r="E350" s="1" t="n">
        <v>46293</v>
      </c>
      <c r="F350" t="inlineStr">
        <is>
          <t>VÄRMLANDS LÄN</t>
        </is>
      </c>
      <c r="G350" t="inlineStr">
        <is>
          <t>SÄFFLE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46293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46293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46293</v>
      </c>
      <c r="F353" t="inlineStr">
        <is>
          <t>VÄRMLANDS LÄN</t>
        </is>
      </c>
      <c r="G353" t="inlineStr">
        <is>
          <t>SÄFFLE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46293</v>
      </c>
      <c r="F354" t="inlineStr">
        <is>
          <t>VÄRMLANDS LÄN</t>
        </is>
      </c>
      <c r="G354" t="inlineStr">
        <is>
          <t>SÄFFLE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46293</v>
      </c>
      <c r="F355" t="inlineStr">
        <is>
          <t>VÄRMLANDS LÄN</t>
        </is>
      </c>
      <c r="G355" t="inlineStr">
        <is>
          <t>SÄFFLE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46293</v>
      </c>
      <c r="F356" t="inlineStr">
        <is>
          <t>VÄRMLANDS LÄN</t>
        </is>
      </c>
      <c r="G356" t="inlineStr">
        <is>
          <t>SÄFFLE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37000-2025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45874</v>
      </c>
      <c r="E357" s="1" t="n">
        <v>46293</v>
      </c>
      <c r="F357" t="inlineStr">
        <is>
          <t>VÄRMLANDS LÄN</t>
        </is>
      </c>
      <c r="G357" t="inlineStr">
        <is>
          <t>SÄFFLE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46293</v>
      </c>
      <c r="F358" t="inlineStr">
        <is>
          <t>VÄRMLANDS LÄN</t>
        </is>
      </c>
      <c r="G358" t="inlineStr">
        <is>
          <t>SÄFFLE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46293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46293</v>
      </c>
      <c r="F360" t="inlineStr">
        <is>
          <t>VÄRMLANDS LÄN</t>
        </is>
      </c>
      <c r="G360" t="inlineStr">
        <is>
          <t>SÄFFLE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46293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46293</v>
      </c>
      <c r="F362" t="inlineStr">
        <is>
          <t>VÄRMLANDS LÄN</t>
        </is>
      </c>
      <c r="G362" t="inlineStr">
        <is>
          <t>SÄFFLE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45481</v>
      </c>
      <c r="E363" s="1" t="n">
        <v>46293</v>
      </c>
      <c r="F363" t="inlineStr">
        <is>
          <t>VÄRMLANDS LÄN</t>
        </is>
      </c>
      <c r="G363" t="inlineStr">
        <is>
          <t>SÄFFLE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46293</v>
      </c>
      <c r="F364" t="inlineStr">
        <is>
          <t>VÄRMLANDS LÄN</t>
        </is>
      </c>
      <c r="G364" t="inlineStr">
        <is>
          <t>SÄFFLE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46293</v>
      </c>
      <c r="F365" t="inlineStr">
        <is>
          <t>VÄRMLANDS LÄN</t>
        </is>
      </c>
      <c r="G365" t="inlineStr">
        <is>
          <t>SÄFFLE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44572</v>
      </c>
      <c r="E366" s="1" t="n">
        <v>46293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46293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54367-2022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46293</v>
      </c>
      <c r="F368" t="inlineStr">
        <is>
          <t>VÄRMLANDS LÄN</t>
        </is>
      </c>
      <c r="G368" t="inlineStr">
        <is>
          <t>SÄFFLE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67174-2021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46293</v>
      </c>
      <c r="F369" t="inlineStr">
        <is>
          <t>VÄRMLANDS LÄN</t>
        </is>
      </c>
      <c r="G369" t="inlineStr">
        <is>
          <t>SÄFFLE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46293</v>
      </c>
      <c r="F370" t="inlineStr">
        <is>
          <t>VÄRMLANDS LÄN</t>
        </is>
      </c>
      <c r="G370" t="inlineStr">
        <is>
          <t>SÄFFLE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46293</v>
      </c>
      <c r="F371" t="inlineStr">
        <is>
          <t>VÄRMLANDS LÄN</t>
        </is>
      </c>
      <c r="G371" t="inlineStr">
        <is>
          <t>SÄFFLE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45704</v>
      </c>
      <c r="E372" s="1" t="n">
        <v>46293</v>
      </c>
      <c r="F372" t="inlineStr">
        <is>
          <t>VÄRMLANDS LÄN</t>
        </is>
      </c>
      <c r="G372" t="inlineStr">
        <is>
          <t>SÄFFLE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46293</v>
      </c>
      <c r="F373" t="inlineStr">
        <is>
          <t>VÄRMLANDS LÄN</t>
        </is>
      </c>
      <c r="G373" t="inlineStr">
        <is>
          <t>SÄFFLE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46293</v>
      </c>
      <c r="F374" t="inlineStr">
        <is>
          <t>VÄRMLANDS LÄN</t>
        </is>
      </c>
      <c r="G374" t="inlineStr">
        <is>
          <t>SÄFFLE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46293</v>
      </c>
      <c r="F375" t="inlineStr">
        <is>
          <t>VÄRMLANDS LÄN</t>
        </is>
      </c>
      <c r="G375" t="inlineStr">
        <is>
          <t>SÄFFLE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45807</v>
      </c>
      <c r="E376" s="1" t="n">
        <v>46293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45807</v>
      </c>
      <c r="E377" s="1" t="n">
        <v>46293</v>
      </c>
      <c r="F377" t="inlineStr">
        <is>
          <t>VÄRMLANDS LÄN</t>
        </is>
      </c>
      <c r="G377" t="inlineStr">
        <is>
          <t>SÄFFLE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46293</v>
      </c>
      <c r="F378" t="inlineStr">
        <is>
          <t>VÄRMLANDS LÄN</t>
        </is>
      </c>
      <c r="G378" t="inlineStr">
        <is>
          <t>SÄFFLE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46293</v>
      </c>
      <c r="F379" t="inlineStr">
        <is>
          <t>VÄRMLANDS LÄN</t>
        </is>
      </c>
      <c r="G379" t="inlineStr">
        <is>
          <t>SÄFFLE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46293</v>
      </c>
      <c r="F380" t="inlineStr">
        <is>
          <t>VÄRMLANDS LÄN</t>
        </is>
      </c>
      <c r="G380" t="inlineStr">
        <is>
          <t>SÄFFLE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46293</v>
      </c>
      <c r="F381" t="inlineStr">
        <is>
          <t>VÄRMLANDS LÄN</t>
        </is>
      </c>
      <c r="G381" t="inlineStr">
        <is>
          <t>SÄFFLE</t>
        </is>
      </c>
      <c r="H381" t="inlineStr">
        <is>
          <t>Kyrkan</t>
        </is>
      </c>
      <c r="I381" t="n">
        <v>12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18040-2025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45761</v>
      </c>
      <c r="E382" s="1" t="n">
        <v>46293</v>
      </c>
      <c r="F382" t="inlineStr">
        <is>
          <t>VÄRMLANDS LÄN</t>
        </is>
      </c>
      <c r="G382" t="inlineStr">
        <is>
          <t>SÄFFLE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46293</v>
      </c>
      <c r="F383" t="inlineStr">
        <is>
          <t>VÄRMLANDS LÄN</t>
        </is>
      </c>
      <c r="G383" t="inlineStr">
        <is>
          <t>SÄFFLE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46293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46293</v>
      </c>
      <c r="F385" t="inlineStr">
        <is>
          <t>VÄRMLANDS LÄN</t>
        </is>
      </c>
      <c r="G385" t="inlineStr">
        <is>
          <t>SÄFFLE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45692</v>
      </c>
      <c r="E386" s="1" t="n">
        <v>46293</v>
      </c>
      <c r="F386" t="inlineStr">
        <is>
          <t>VÄRMLANDS LÄN</t>
        </is>
      </c>
      <c r="G386" t="inlineStr">
        <is>
          <t>SÄFFLE</t>
        </is>
      </c>
      <c r="I386" t="n">
        <v>19.2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46293</v>
      </c>
      <c r="F387" t="inlineStr">
        <is>
          <t>VÄRMLANDS LÄN</t>
        </is>
      </c>
      <c r="G387" t="inlineStr">
        <is>
          <t>SÄFFLE</t>
        </is>
      </c>
      <c r="I387" t="n">
        <v>20.8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45646</v>
      </c>
      <c r="E388" s="1" t="n">
        <v>46293</v>
      </c>
      <c r="F388" t="inlineStr">
        <is>
          <t>VÄRMLANDS LÄN</t>
        </is>
      </c>
      <c r="G388" t="inlineStr">
        <is>
          <t>SÄFFLE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46293</v>
      </c>
      <c r="F389" t="inlineStr">
        <is>
          <t>VÄRMLANDS LÄN</t>
        </is>
      </c>
      <c r="G389" t="inlineStr">
        <is>
          <t>SÄFFLE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46293</v>
      </c>
      <c r="F390" t="inlineStr">
        <is>
          <t>VÄRMLANDS LÄN</t>
        </is>
      </c>
      <c r="G390" t="inlineStr">
        <is>
          <t>SÄFFLE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45779</v>
      </c>
      <c r="E391" s="1" t="n">
        <v>46293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44564</v>
      </c>
      <c r="E392" s="1" t="n">
        <v>46293</v>
      </c>
      <c r="F392" t="inlineStr">
        <is>
          <t>VÄRMLANDS LÄN</t>
        </is>
      </c>
      <c r="G392" t="inlineStr">
        <is>
          <t>SÄFFLE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46293</v>
      </c>
      <c r="F393" t="inlineStr">
        <is>
          <t>VÄRMLANDS LÄN</t>
        </is>
      </c>
      <c r="G393" t="inlineStr">
        <is>
          <t>SÄFFLE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46293</v>
      </c>
      <c r="F394" t="inlineStr">
        <is>
          <t>VÄRMLANDS LÄN</t>
        </is>
      </c>
      <c r="G394" t="inlineStr">
        <is>
          <t>SÄFFLE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46293</v>
      </c>
      <c r="F395" t="inlineStr">
        <is>
          <t>VÄRMLANDS LÄN</t>
        </is>
      </c>
      <c r="G395" t="inlineStr">
        <is>
          <t>SÄFFLE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46293</v>
      </c>
      <c r="F396" t="inlineStr">
        <is>
          <t>VÄRMLANDS LÄN</t>
        </is>
      </c>
      <c r="G396" t="inlineStr">
        <is>
          <t>SÄFFLE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46293</v>
      </c>
      <c r="F397" t="inlineStr">
        <is>
          <t>VÄRMLANDS LÄN</t>
        </is>
      </c>
      <c r="G397" t="inlineStr">
        <is>
          <t>SÄFFLE</t>
        </is>
      </c>
      <c r="I397" t="n">
        <v>11.1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46293</v>
      </c>
      <c r="F398" t="inlineStr">
        <is>
          <t>VÄRMLANDS LÄN</t>
        </is>
      </c>
      <c r="G398" t="inlineStr">
        <is>
          <t>SÄFFLE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46293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46293</v>
      </c>
      <c r="F400" t="inlineStr">
        <is>
          <t>VÄRMLANDS LÄN</t>
        </is>
      </c>
      <c r="G400" t="inlineStr">
        <is>
          <t>SÄFFLE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46293</v>
      </c>
      <c r="F401" t="inlineStr">
        <is>
          <t>VÄRMLANDS LÄN</t>
        </is>
      </c>
      <c r="G401" t="inlineStr">
        <is>
          <t>SÄFFLE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46293</v>
      </c>
      <c r="F402" t="inlineStr">
        <is>
          <t>VÄRMLANDS LÄN</t>
        </is>
      </c>
      <c r="G402" t="inlineStr">
        <is>
          <t>SÄFFLE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45685</v>
      </c>
      <c r="E403" s="1" t="n">
        <v>46293</v>
      </c>
      <c r="F403" t="inlineStr">
        <is>
          <t>VÄRMLANDS LÄN</t>
        </is>
      </c>
      <c r="G403" t="inlineStr">
        <is>
          <t>SÄFFLE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45677</v>
      </c>
      <c r="E404" s="1" t="n">
        <v>46293</v>
      </c>
      <c r="F404" t="inlineStr">
        <is>
          <t>VÄRMLANDS LÄN</t>
        </is>
      </c>
      <c r="G404" t="inlineStr">
        <is>
          <t>SÄFFLE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46293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46293</v>
      </c>
      <c r="F406" t="inlineStr">
        <is>
          <t>VÄRMLANDS LÄN</t>
        </is>
      </c>
      <c r="G406" t="inlineStr">
        <is>
          <t>SÄFFLE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46293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46293</v>
      </c>
      <c r="F408" t="inlineStr">
        <is>
          <t>VÄRMLANDS LÄN</t>
        </is>
      </c>
      <c r="G408" t="inlineStr">
        <is>
          <t>SÄFFLE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20322-2025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45775</v>
      </c>
      <c r="E409" s="1" t="n">
        <v>46293</v>
      </c>
      <c r="F409" t="inlineStr">
        <is>
          <t>VÄRMLANDS LÄN</t>
        </is>
      </c>
      <c r="G409" t="inlineStr">
        <is>
          <t>SÄFFLE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46293</v>
      </c>
      <c r="F410" t="inlineStr">
        <is>
          <t>VÄRMLANDS LÄN</t>
        </is>
      </c>
      <c r="G410" t="inlineStr">
        <is>
          <t>SÄFFLE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46293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45171</v>
      </c>
      <c r="E412" s="1" t="n">
        <v>46293</v>
      </c>
      <c r="F412" t="inlineStr">
        <is>
          <t>VÄRMLANDS LÄN</t>
        </is>
      </c>
      <c r="G412" t="inlineStr">
        <is>
          <t>SÄFFLE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44880</v>
      </c>
      <c r="E413" s="1" t="n">
        <v>46293</v>
      </c>
      <c r="F413" t="inlineStr">
        <is>
          <t>VÄRMLANDS LÄN</t>
        </is>
      </c>
      <c r="G413" t="inlineStr">
        <is>
          <t>SÄFFLE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45855</v>
      </c>
      <c r="E414" s="1" t="n">
        <v>46293</v>
      </c>
      <c r="F414" t="inlineStr">
        <is>
          <t>VÄRMLANDS LÄN</t>
        </is>
      </c>
      <c r="G414" t="inlineStr">
        <is>
          <t>SÄFFLE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59224-2021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46293</v>
      </c>
      <c r="F415" t="inlineStr">
        <is>
          <t>VÄRMLANDS LÄN</t>
        </is>
      </c>
      <c r="G415" t="inlineStr">
        <is>
          <t>SÄFFLE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45711</v>
      </c>
      <c r="E416" s="1" t="n">
        <v>46293</v>
      </c>
      <c r="F416" t="inlineStr">
        <is>
          <t>VÄRMLANDS LÄN</t>
        </is>
      </c>
      <c r="G416" t="inlineStr">
        <is>
          <t>SÄFFLE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46293</v>
      </c>
      <c r="F417" t="inlineStr">
        <is>
          <t>VÄRMLANDS LÄN</t>
        </is>
      </c>
      <c r="G417" t="inlineStr">
        <is>
          <t>SÄFFLE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45676</v>
      </c>
      <c r="E418" s="1" t="n">
        <v>46293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36847-2025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45874</v>
      </c>
      <c r="E419" s="1" t="n">
        <v>46293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46293</v>
      </c>
      <c r="F420" t="inlineStr">
        <is>
          <t>VÄRMLANDS LÄN</t>
        </is>
      </c>
      <c r="G420" t="inlineStr">
        <is>
          <t>SÄFFLE</t>
        </is>
      </c>
      <c r="H420" t="inlineStr">
        <is>
          <t>Kyrkan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45832</v>
      </c>
      <c r="E421" s="1" t="n">
        <v>46293</v>
      </c>
      <c r="F421" t="inlineStr">
        <is>
          <t>VÄRMLANDS LÄN</t>
        </is>
      </c>
      <c r="G421" t="inlineStr">
        <is>
          <t>SÄFFLE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46293</v>
      </c>
      <c r="F422" t="inlineStr">
        <is>
          <t>VÄRMLANDS LÄN</t>
        </is>
      </c>
      <c r="G422" t="inlineStr">
        <is>
          <t>SÄFFLE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71292-2021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46293</v>
      </c>
      <c r="F423" t="inlineStr">
        <is>
          <t>VÄRMLANDS LÄN</t>
        </is>
      </c>
      <c r="G423" t="inlineStr">
        <is>
          <t>SÄFFLE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46293</v>
      </c>
      <c r="F424" t="inlineStr">
        <is>
          <t>VÄRMLANDS LÄN</t>
        </is>
      </c>
      <c r="G424" t="inlineStr">
        <is>
          <t>SÄFFLE</t>
        </is>
      </c>
      <c r="H424" t="inlineStr">
        <is>
          <t>Bergvik skog väst AB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46293</v>
      </c>
      <c r="F425" t="inlineStr">
        <is>
          <t>VÄRMLANDS LÄN</t>
        </is>
      </c>
      <c r="G425" t="inlineStr">
        <is>
          <t>SÄFFLE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45253</v>
      </c>
      <c r="E426" s="1" t="n">
        <v>46293</v>
      </c>
      <c r="F426" t="inlineStr">
        <is>
          <t>VÄRMLANDS LÄN</t>
        </is>
      </c>
      <c r="G426" t="inlineStr">
        <is>
          <t>SÄFFLE</t>
        </is>
      </c>
      <c r="I426" t="n">
        <v>19.9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46293</v>
      </c>
      <c r="F427" t="inlineStr">
        <is>
          <t>VÄRMLANDS LÄN</t>
        </is>
      </c>
      <c r="G427" t="inlineStr">
        <is>
          <t>SÄFFLE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46293</v>
      </c>
      <c r="F428" t="inlineStr">
        <is>
          <t>VÄRMLANDS LÄN</t>
        </is>
      </c>
      <c r="G428" t="inlineStr">
        <is>
          <t>SÄFFLE</t>
        </is>
      </c>
      <c r="I428" t="n">
        <v>11.4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46293</v>
      </c>
      <c r="F429" t="inlineStr">
        <is>
          <t>VÄRMLANDS LÄN</t>
        </is>
      </c>
      <c r="G429" t="inlineStr">
        <is>
          <t>SÄFFLE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45847</v>
      </c>
      <c r="E430" s="1" t="n">
        <v>46293</v>
      </c>
      <c r="F430" t="inlineStr">
        <is>
          <t>VÄRMLANDS LÄN</t>
        </is>
      </c>
      <c r="G430" t="inlineStr">
        <is>
          <t>SÄFFLE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45609</v>
      </c>
      <c r="E431" s="1" t="n">
        <v>46293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46293</v>
      </c>
      <c r="F432" t="inlineStr">
        <is>
          <t>VÄRMLANDS LÄN</t>
        </is>
      </c>
      <c r="G432" t="inlineStr">
        <is>
          <t>SÄFFLE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46293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10223-2025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45720</v>
      </c>
      <c r="E434" s="1" t="n">
        <v>46293</v>
      </c>
      <c r="F434" t="inlineStr">
        <is>
          <t>VÄRMLANDS LÄN</t>
        </is>
      </c>
      <c r="G434" t="inlineStr">
        <is>
          <t>SÄFFLE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11245-2022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44629</v>
      </c>
      <c r="E435" s="1" t="n">
        <v>46293</v>
      </c>
      <c r="F435" t="inlineStr">
        <is>
          <t>VÄRMLANDS LÄN</t>
        </is>
      </c>
      <c r="G435" t="inlineStr">
        <is>
          <t>SÄFFLE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46293</v>
      </c>
      <c r="F436" t="inlineStr">
        <is>
          <t>VÄRMLANDS LÄN</t>
        </is>
      </c>
      <c r="G436" t="inlineStr">
        <is>
          <t>SÄFFLE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46293</v>
      </c>
      <c r="F437" t="inlineStr">
        <is>
          <t>VÄRMLANDS LÄN</t>
        </is>
      </c>
      <c r="G437" t="inlineStr">
        <is>
          <t>SÄFFLE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46293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46293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46293</v>
      </c>
      <c r="F440" t="inlineStr">
        <is>
          <t>VÄRMLANDS LÄN</t>
        </is>
      </c>
      <c r="G440" t="inlineStr">
        <is>
          <t>SÄFFLE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45721</v>
      </c>
      <c r="E441" s="1" t="n">
        <v>46293</v>
      </c>
      <c r="F441" t="inlineStr">
        <is>
          <t>VÄRMLANDS LÄN</t>
        </is>
      </c>
      <c r="G441" t="inlineStr">
        <is>
          <t>SÄFFLE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44812</v>
      </c>
      <c r="E442" s="1" t="n">
        <v>46293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45595</v>
      </c>
      <c r="E443" s="1" t="n">
        <v>46293</v>
      </c>
      <c r="F443" t="inlineStr">
        <is>
          <t>VÄRMLANDS LÄN</t>
        </is>
      </c>
      <c r="G443" t="inlineStr">
        <is>
          <t>SÄFFLE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46293</v>
      </c>
      <c r="F444" t="inlineStr">
        <is>
          <t>VÄRMLANDS LÄN</t>
        </is>
      </c>
      <c r="G444" t="inlineStr">
        <is>
          <t>SÄFFLE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46293</v>
      </c>
      <c r="F445" t="inlineStr">
        <is>
          <t>VÄRMLANDS LÄN</t>
        </is>
      </c>
      <c r="G445" t="inlineStr">
        <is>
          <t>SÄFFLE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64322-2023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45280</v>
      </c>
      <c r="E446" s="1" t="n">
        <v>46293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45226</v>
      </c>
      <c r="E447" s="1" t="n">
        <v>46293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46293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46293</v>
      </c>
      <c r="F449" t="inlineStr">
        <is>
          <t>VÄRMLANDS LÄN</t>
        </is>
      </c>
      <c r="G449" t="inlineStr">
        <is>
          <t>SÄFFLE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46293</v>
      </c>
      <c r="F450" t="inlineStr">
        <is>
          <t>VÄRMLANDS LÄN</t>
        </is>
      </c>
      <c r="G450" t="inlineStr">
        <is>
          <t>SÄFFLE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46293</v>
      </c>
      <c r="F451" t="inlineStr">
        <is>
          <t>VÄRMLANDS LÄN</t>
        </is>
      </c>
      <c r="G451" t="inlineStr">
        <is>
          <t>SÄFFLE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44813</v>
      </c>
      <c r="E452" s="1" t="n">
        <v>46293</v>
      </c>
      <c r="F452" t="inlineStr">
        <is>
          <t>VÄRMLANDS LÄN</t>
        </is>
      </c>
      <c r="G452" t="inlineStr">
        <is>
          <t>SÄFFLE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44936</v>
      </c>
      <c r="E453" s="1" t="n">
        <v>46293</v>
      </c>
      <c r="F453" t="inlineStr">
        <is>
          <t>VÄRMLANDS LÄN</t>
        </is>
      </c>
      <c r="G453" t="inlineStr">
        <is>
          <t>SÄFFLE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46293</v>
      </c>
      <c r="F454" t="inlineStr">
        <is>
          <t>VÄRMLANDS LÄN</t>
        </is>
      </c>
      <c r="G454" t="inlineStr">
        <is>
          <t>SÄFFLE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45229</v>
      </c>
      <c r="E455" s="1" t="n">
        <v>46293</v>
      </c>
      <c r="F455" t="inlineStr">
        <is>
          <t>VÄRMLANDS LÄN</t>
        </is>
      </c>
      <c r="G455" t="inlineStr">
        <is>
          <t>SÄFFLE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31245-2025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45832</v>
      </c>
      <c r="E456" s="1" t="n">
        <v>46293</v>
      </c>
      <c r="F456" t="inlineStr">
        <is>
          <t>VÄRMLANDS LÄN</t>
        </is>
      </c>
      <c r="G456" t="inlineStr">
        <is>
          <t>SÄFFLE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46293</v>
      </c>
      <c r="F457" t="inlineStr">
        <is>
          <t>VÄRMLANDS LÄN</t>
        </is>
      </c>
      <c r="G457" t="inlineStr">
        <is>
          <t>SÄFFLE</t>
        </is>
      </c>
      <c r="H457" t="inlineStr">
        <is>
          <t>Kyrkan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46293</v>
      </c>
      <c r="F458" t="inlineStr">
        <is>
          <t>VÄRMLANDS LÄN</t>
        </is>
      </c>
      <c r="G458" t="inlineStr">
        <is>
          <t>SÄFFLE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53788-2022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44880</v>
      </c>
      <c r="E459" s="1" t="n">
        <v>46293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45609</v>
      </c>
      <c r="E460" s="1" t="n">
        <v>46293</v>
      </c>
      <c r="F460" t="inlineStr">
        <is>
          <t>VÄRMLANDS LÄN</t>
        </is>
      </c>
      <c r="G460" t="inlineStr">
        <is>
          <t>SÄFFLE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46293</v>
      </c>
      <c r="F461" t="inlineStr">
        <is>
          <t>VÄRMLANDS LÄN</t>
        </is>
      </c>
      <c r="G461" t="inlineStr">
        <is>
          <t>SÄFFLE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12482-2024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45379</v>
      </c>
      <c r="E462" s="1" t="n">
        <v>46293</v>
      </c>
      <c r="F462" t="inlineStr">
        <is>
          <t>VÄRMLANDS LÄN</t>
        </is>
      </c>
      <c r="G462" t="inlineStr">
        <is>
          <t>SÄFFLE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46293</v>
      </c>
      <c r="F463" t="inlineStr">
        <is>
          <t>VÄRMLANDS LÄN</t>
        </is>
      </c>
      <c r="G463" t="inlineStr">
        <is>
          <t>SÄFFLE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45089</v>
      </c>
      <c r="E464" s="1" t="n">
        <v>46293</v>
      </c>
      <c r="F464" t="inlineStr">
        <is>
          <t>VÄRMLANDS LÄN</t>
        </is>
      </c>
      <c r="G464" t="inlineStr">
        <is>
          <t>SÄFFLE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46293</v>
      </c>
      <c r="F465" t="inlineStr">
        <is>
          <t>VÄRMLANDS LÄN</t>
        </is>
      </c>
      <c r="G465" t="inlineStr">
        <is>
          <t>SÄFFLE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46293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44487</v>
      </c>
      <c r="E467" s="1" t="n">
        <v>46293</v>
      </c>
      <c r="F467" t="inlineStr">
        <is>
          <t>VÄRMLANDS LÄN</t>
        </is>
      </c>
      <c r="G467" t="inlineStr">
        <is>
          <t>SÄFFLE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45837</v>
      </c>
      <c r="E468" s="1" t="n">
        <v>46293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46293</v>
      </c>
      <c r="F469" t="inlineStr">
        <is>
          <t>VÄRMLANDS LÄN</t>
        </is>
      </c>
      <c r="G469" t="inlineStr">
        <is>
          <t>SÄFFLE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46293</v>
      </c>
      <c r="F470" t="inlineStr">
        <is>
          <t>VÄRMLANDS LÄN</t>
        </is>
      </c>
      <c r="G470" t="inlineStr">
        <is>
          <t>SÄFFLE</t>
        </is>
      </c>
      <c r="H470" t="inlineStr">
        <is>
          <t>Bergvik skog väst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46293</v>
      </c>
      <c r="F471" t="inlineStr">
        <is>
          <t>VÄRMLANDS LÄN</t>
        </is>
      </c>
      <c r="G471" t="inlineStr">
        <is>
          <t>SÄFFLE</t>
        </is>
      </c>
      <c r="H471" t="inlineStr">
        <is>
          <t>Kyrkan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46293</v>
      </c>
      <c r="F472" t="inlineStr">
        <is>
          <t>VÄRMLANDS LÄN</t>
        </is>
      </c>
      <c r="G472" t="inlineStr">
        <is>
          <t>SÄFFLE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63781-2023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45278</v>
      </c>
      <c r="E473" s="1" t="n">
        <v>46293</v>
      </c>
      <c r="F473" t="inlineStr">
        <is>
          <t>VÄRMLANDS LÄN</t>
        </is>
      </c>
      <c r="G473" t="inlineStr">
        <is>
          <t>SÄFFLE</t>
        </is>
      </c>
      <c r="H473" t="inlineStr">
        <is>
          <t>Kommuner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45890</v>
      </c>
      <c r="E474" s="1" t="n">
        <v>46293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45542</v>
      </c>
      <c r="E475" s="1" t="n">
        <v>46293</v>
      </c>
      <c r="F475" t="inlineStr">
        <is>
          <t>VÄRMLANDS LÄN</t>
        </is>
      </c>
      <c r="G475" t="inlineStr">
        <is>
          <t>SÄFFLE</t>
        </is>
      </c>
      <c r="I475" t="n">
        <v>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46293</v>
      </c>
      <c r="F476" t="inlineStr">
        <is>
          <t>VÄRMLANDS LÄN</t>
        </is>
      </c>
      <c r="G476" t="inlineStr">
        <is>
          <t>SÄFFLE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46293</v>
      </c>
      <c r="F477" t="inlineStr">
        <is>
          <t>VÄRMLANDS LÄN</t>
        </is>
      </c>
      <c r="G477" t="inlineStr">
        <is>
          <t>SÄFFLE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46293</v>
      </c>
      <c r="F478" t="inlineStr">
        <is>
          <t>VÄRMLANDS LÄN</t>
        </is>
      </c>
      <c r="G478" t="inlineStr">
        <is>
          <t>SÄFFLE</t>
        </is>
      </c>
      <c r="H478" t="inlineStr">
        <is>
          <t>Bergvik skog väst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46293</v>
      </c>
      <c r="F479" t="inlineStr">
        <is>
          <t>VÄRMLANDS LÄN</t>
        </is>
      </c>
      <c r="G479" t="inlineStr">
        <is>
          <t>SÄFFLE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30249-2022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44758</v>
      </c>
      <c r="E480" s="1" t="n">
        <v>46293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10649-2024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45368</v>
      </c>
      <c r="E481" s="1" t="n">
        <v>46293</v>
      </c>
      <c r="F481" t="inlineStr">
        <is>
          <t>VÄRMLANDS LÄN</t>
        </is>
      </c>
      <c r="G481" t="inlineStr">
        <is>
          <t>SÄFFLE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45063</v>
      </c>
      <c r="E482" s="1" t="n">
        <v>46293</v>
      </c>
      <c r="F482" t="inlineStr">
        <is>
          <t>VÄRMLANDS LÄN</t>
        </is>
      </c>
      <c r="G482" t="inlineStr">
        <is>
          <t>SÄFFLE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46293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64061-2021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44509</v>
      </c>
      <c r="E484" s="1" t="n">
        <v>46293</v>
      </c>
      <c r="F484" t="inlineStr">
        <is>
          <t>VÄRMLANDS LÄN</t>
        </is>
      </c>
      <c r="G484" t="inlineStr">
        <is>
          <t>SÄFFLE</t>
        </is>
      </c>
      <c r="H484" t="inlineStr">
        <is>
          <t>Bergvik skog väst AB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45842</v>
      </c>
      <c r="E485" s="1" t="n">
        <v>46293</v>
      </c>
      <c r="F485" t="inlineStr">
        <is>
          <t>VÄRMLANDS LÄN</t>
        </is>
      </c>
      <c r="G485" t="inlineStr">
        <is>
          <t>SÄFFLE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45931</v>
      </c>
      <c r="E486" s="1" t="n">
        <v>46293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46293</v>
      </c>
      <c r="F487" t="inlineStr">
        <is>
          <t>VÄRMLANDS LÄN</t>
        </is>
      </c>
      <c r="G487" t="inlineStr">
        <is>
          <t>SÄFFLE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46293</v>
      </c>
      <c r="F488" t="inlineStr">
        <is>
          <t>VÄRMLANDS LÄN</t>
        </is>
      </c>
      <c r="G488" t="inlineStr">
        <is>
          <t>SÄFFLE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46293</v>
      </c>
      <c r="F489" t="inlineStr">
        <is>
          <t>VÄRMLANDS LÄN</t>
        </is>
      </c>
      <c r="G489" t="inlineStr">
        <is>
          <t>SÄFFLE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31247-2025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45832</v>
      </c>
      <c r="E490" s="1" t="n">
        <v>46293</v>
      </c>
      <c r="F490" t="inlineStr">
        <is>
          <t>VÄRMLANDS LÄN</t>
        </is>
      </c>
      <c r="G490" t="inlineStr">
        <is>
          <t>SÄFFLE</t>
        </is>
      </c>
      <c r="I490" t="n">
        <v>11.5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46293</v>
      </c>
      <c r="F491" t="inlineStr">
        <is>
          <t>VÄRMLANDS LÄN</t>
        </is>
      </c>
      <c r="G491" t="inlineStr">
        <is>
          <t>SÄFFLE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46293</v>
      </c>
      <c r="F492" t="inlineStr">
        <is>
          <t>VÄRMLANDS LÄN</t>
        </is>
      </c>
      <c r="G492" t="inlineStr">
        <is>
          <t>SÄFFLE</t>
        </is>
      </c>
      <c r="I492" t="n">
        <v>11.2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9261-2024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45358</v>
      </c>
      <c r="E493" s="1" t="n">
        <v>46293</v>
      </c>
      <c r="F493" t="inlineStr">
        <is>
          <t>VÄRMLANDS LÄN</t>
        </is>
      </c>
      <c r="G493" t="inlineStr">
        <is>
          <t>SÄFFLE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46293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45398</v>
      </c>
      <c r="E495" s="1" t="n">
        <v>46293</v>
      </c>
      <c r="F495" t="inlineStr">
        <is>
          <t>VÄRMLANDS LÄN</t>
        </is>
      </c>
      <c r="G495" t="inlineStr">
        <is>
          <t>SÄFFLE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45847</v>
      </c>
      <c r="E496" s="1" t="n">
        <v>46293</v>
      </c>
      <c r="F496" t="inlineStr">
        <is>
          <t>VÄRMLANDS LÄN</t>
        </is>
      </c>
      <c r="G496" t="inlineStr">
        <is>
          <t>SÄFFLE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45847</v>
      </c>
      <c r="E497" s="1" t="n">
        <v>46293</v>
      </c>
      <c r="F497" t="inlineStr">
        <is>
          <t>VÄRMLANDS LÄN</t>
        </is>
      </c>
      <c r="G497" t="inlineStr">
        <is>
          <t>SÄFFLE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45847</v>
      </c>
      <c r="E498" s="1" t="n">
        <v>46293</v>
      </c>
      <c r="F498" t="inlineStr">
        <is>
          <t>VÄRMLANDS LÄN</t>
        </is>
      </c>
      <c r="G498" t="inlineStr">
        <is>
          <t>SÄFFLE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45847</v>
      </c>
      <c r="E499" s="1" t="n">
        <v>46293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45847</v>
      </c>
      <c r="E500" s="1" t="n">
        <v>46293</v>
      </c>
      <c r="F500" t="inlineStr">
        <is>
          <t>VÄRMLANDS LÄN</t>
        </is>
      </c>
      <c r="G500" t="inlineStr">
        <is>
          <t>SÄFFLE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46293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45808</v>
      </c>
      <c r="E502" s="1" t="n">
        <v>46293</v>
      </c>
      <c r="F502" t="inlineStr">
        <is>
          <t>VÄRMLANDS LÄN</t>
        </is>
      </c>
      <c r="G502" t="inlineStr">
        <is>
          <t>SÄFFLE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44976</v>
      </c>
      <c r="E503" s="1" t="n">
        <v>46293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45374</v>
      </c>
      <c r="E504" s="1" t="n">
        <v>46293</v>
      </c>
      <c r="F504" t="inlineStr">
        <is>
          <t>VÄRMLANDS LÄN</t>
        </is>
      </c>
      <c r="G504" t="inlineStr">
        <is>
          <t>SÄFFLE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45374</v>
      </c>
      <c r="E505" s="1" t="n">
        <v>46293</v>
      </c>
      <c r="F505" t="inlineStr">
        <is>
          <t>VÄRMLANDS LÄN</t>
        </is>
      </c>
      <c r="G505" t="inlineStr">
        <is>
          <t>SÄFFLE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46293</v>
      </c>
      <c r="F506" t="inlineStr">
        <is>
          <t>VÄRMLANDS LÄN</t>
        </is>
      </c>
      <c r="G506" t="inlineStr">
        <is>
          <t>SÄFFLE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46293</v>
      </c>
      <c r="F507" t="inlineStr">
        <is>
          <t>VÄRMLANDS LÄN</t>
        </is>
      </c>
      <c r="G507" t="inlineStr">
        <is>
          <t>SÄFFLE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46293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46293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46293</v>
      </c>
      <c r="F510" t="inlineStr">
        <is>
          <t>VÄRMLANDS LÄN</t>
        </is>
      </c>
      <c r="G510" t="inlineStr">
        <is>
          <t>SÄFFLE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46293</v>
      </c>
      <c r="F511" t="inlineStr">
        <is>
          <t>VÄRMLANDS LÄN</t>
        </is>
      </c>
      <c r="G511" t="inlineStr">
        <is>
          <t>SÄFFLE</t>
        </is>
      </c>
      <c r="H511" t="inlineStr">
        <is>
          <t>Kommuner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46293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46293</v>
      </c>
      <c r="F513" t="inlineStr">
        <is>
          <t>VÄRMLANDS LÄN</t>
        </is>
      </c>
      <c r="G513" t="inlineStr">
        <is>
          <t>SÄFFLE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46293</v>
      </c>
      <c r="F514" t="inlineStr">
        <is>
          <t>VÄRMLANDS LÄN</t>
        </is>
      </c>
      <c r="G514" t="inlineStr">
        <is>
          <t>SÄFFLE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46293</v>
      </c>
      <c r="F515" t="inlineStr">
        <is>
          <t>VÄRMLANDS LÄN</t>
        </is>
      </c>
      <c r="G515" t="inlineStr">
        <is>
          <t>SÄFFLE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46293</v>
      </c>
      <c r="F516" t="inlineStr">
        <is>
          <t>VÄRMLANDS LÄN</t>
        </is>
      </c>
      <c r="G516" t="inlineStr">
        <is>
          <t>SÄFFLE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11626-2023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44994</v>
      </c>
      <c r="E517" s="1" t="n">
        <v>46293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46293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46293</v>
      </c>
      <c r="F519" t="inlineStr">
        <is>
          <t>VÄRMLANDS LÄN</t>
        </is>
      </c>
      <c r="G519" t="inlineStr">
        <is>
          <t>SÄFFLE</t>
        </is>
      </c>
      <c r="H519" t="inlineStr">
        <is>
          <t>Kommuner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48878-2023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46293</v>
      </c>
      <c r="F520" t="inlineStr">
        <is>
          <t>VÄRMLANDS LÄN</t>
        </is>
      </c>
      <c r="G520" t="inlineStr">
        <is>
          <t>SÄFFLE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45558</v>
      </c>
      <c r="E521" s="1" t="n">
        <v>46293</v>
      </c>
      <c r="F521" t="inlineStr">
        <is>
          <t>VÄRMLANDS LÄN</t>
        </is>
      </c>
      <c r="G521" t="inlineStr">
        <is>
          <t>SÄFFLE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46293</v>
      </c>
      <c r="F522" t="inlineStr">
        <is>
          <t>VÄRMLANDS LÄN</t>
        </is>
      </c>
      <c r="G522" t="inlineStr">
        <is>
          <t>SÄFFLE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46293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46293</v>
      </c>
      <c r="F524" t="inlineStr">
        <is>
          <t>VÄRMLANDS LÄN</t>
        </is>
      </c>
      <c r="G524" t="inlineStr">
        <is>
          <t>SÄFFLE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45355</v>
      </c>
      <c r="E525" s="1" t="n">
        <v>46293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46293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46293</v>
      </c>
      <c r="F527" t="inlineStr">
        <is>
          <t>VÄRMLANDS LÄN</t>
        </is>
      </c>
      <c r="G527" t="inlineStr">
        <is>
          <t>SÄFFLE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44509</v>
      </c>
      <c r="E528" s="1" t="n">
        <v>46293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46293</v>
      </c>
      <c r="F529" t="inlineStr">
        <is>
          <t>VÄRMLANDS LÄN</t>
        </is>
      </c>
      <c r="G529" t="inlineStr">
        <is>
          <t>SÄFFLE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65023-2023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45282</v>
      </c>
      <c r="E530" s="1" t="n">
        <v>46293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46293</v>
      </c>
      <c r="F531" t="inlineStr">
        <is>
          <t>VÄRMLANDS LÄN</t>
        </is>
      </c>
      <c r="G531" t="inlineStr">
        <is>
          <t>SÄFFLE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45582</v>
      </c>
      <c r="E532" s="1" t="n">
        <v>46293</v>
      </c>
      <c r="F532" t="inlineStr">
        <is>
          <t>VÄRMLANDS LÄN</t>
        </is>
      </c>
      <c r="G532" t="inlineStr">
        <is>
          <t>SÄFFLE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36899-2025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45874</v>
      </c>
      <c r="E533" s="1" t="n">
        <v>46293</v>
      </c>
      <c r="F533" t="inlineStr">
        <is>
          <t>VÄRMLANDS LÄN</t>
        </is>
      </c>
      <c r="G533" t="inlineStr">
        <is>
          <t>SÄFFLE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45044</v>
      </c>
      <c r="E534" s="1" t="n">
        <v>46293</v>
      </c>
      <c r="F534" t="inlineStr">
        <is>
          <t>VÄRMLANDS LÄN</t>
        </is>
      </c>
      <c r="G534" t="inlineStr">
        <is>
          <t>SÄFFLE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46293</v>
      </c>
      <c r="F535" t="inlineStr">
        <is>
          <t>VÄRMLANDS LÄN</t>
        </is>
      </c>
      <c r="G535" t="inlineStr">
        <is>
          <t>SÄFFLE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45874</v>
      </c>
      <c r="E536" s="1" t="n">
        <v>46293</v>
      </c>
      <c r="F536" t="inlineStr">
        <is>
          <t>VÄRMLANDS LÄN</t>
        </is>
      </c>
      <c r="G536" t="inlineStr">
        <is>
          <t>SÄFFLE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45393</v>
      </c>
      <c r="E537" s="1" t="n">
        <v>46293</v>
      </c>
      <c r="F537" t="inlineStr">
        <is>
          <t>VÄRMLANDS LÄN</t>
        </is>
      </c>
      <c r="G537" t="inlineStr">
        <is>
          <t>SÄFFLE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46293</v>
      </c>
      <c r="F538" t="inlineStr">
        <is>
          <t>VÄRMLANDS LÄN</t>
        </is>
      </c>
      <c r="G538" t="inlineStr">
        <is>
          <t>SÄFFLE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46293</v>
      </c>
      <c r="F539" t="inlineStr">
        <is>
          <t>VÄRMLANDS LÄN</t>
        </is>
      </c>
      <c r="G539" t="inlineStr">
        <is>
          <t>SÄFFLE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46293</v>
      </c>
      <c r="F540" t="inlineStr">
        <is>
          <t>VÄRMLANDS LÄN</t>
        </is>
      </c>
      <c r="G540" t="inlineStr">
        <is>
          <t>SÄFFLE</t>
        </is>
      </c>
      <c r="I540" t="n">
        <v>49.7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45871</v>
      </c>
      <c r="E541" s="1" t="n">
        <v>46293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46293</v>
      </c>
      <c r="F542" t="inlineStr">
        <is>
          <t>VÄRMLANDS LÄN</t>
        </is>
      </c>
      <c r="G542" t="inlineStr">
        <is>
          <t>SÄFFLE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46293</v>
      </c>
      <c r="F543" t="inlineStr">
        <is>
          <t>VÄRMLANDS LÄN</t>
        </is>
      </c>
      <c r="G543" t="inlineStr">
        <is>
          <t>SÄFFLE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46293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45334</v>
      </c>
      <c r="E545" s="1" t="n">
        <v>46293</v>
      </c>
      <c r="F545" t="inlineStr">
        <is>
          <t>VÄRMLANDS LÄN</t>
        </is>
      </c>
      <c r="G545" t="inlineStr">
        <is>
          <t>SÄFFLE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46293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46293</v>
      </c>
      <c r="F547" t="inlineStr">
        <is>
          <t>VÄRMLANDS LÄN</t>
        </is>
      </c>
      <c r="G547" t="inlineStr">
        <is>
          <t>SÄFFLE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36721-2024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45537</v>
      </c>
      <c r="E548" s="1" t="n">
        <v>46293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45746</v>
      </c>
      <c r="E549" s="1" t="n">
        <v>46293</v>
      </c>
      <c r="F549" t="inlineStr">
        <is>
          <t>VÄRMLANDS LÄN</t>
        </is>
      </c>
      <c r="G549" t="inlineStr">
        <is>
          <t>SÄFFLE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63858-2021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44509</v>
      </c>
      <c r="E550" s="1" t="n">
        <v>46293</v>
      </c>
      <c r="F550" t="inlineStr">
        <is>
          <t>VÄRMLANDS LÄN</t>
        </is>
      </c>
      <c r="G550" t="inlineStr">
        <is>
          <t>SÄFFLE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46293</v>
      </c>
      <c r="F551" t="inlineStr">
        <is>
          <t>VÄRMLANDS LÄN</t>
        </is>
      </c>
      <c r="G551" t="inlineStr">
        <is>
          <t>SÄFFLE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46293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6966-2022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44603</v>
      </c>
      <c r="E553" s="1" t="n">
        <v>46293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73355-2021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44550</v>
      </c>
      <c r="E554" s="1" t="n">
        <v>46293</v>
      </c>
      <c r="F554" t="inlineStr">
        <is>
          <t>VÄRMLANDS LÄN</t>
        </is>
      </c>
      <c r="G554" t="inlineStr">
        <is>
          <t>SÄFFLE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45439</v>
      </c>
      <c r="E555" s="1" t="n">
        <v>46293</v>
      </c>
      <c r="F555" t="inlineStr">
        <is>
          <t>VÄRMLANDS LÄN</t>
        </is>
      </c>
      <c r="G555" t="inlineStr">
        <is>
          <t>SÄFFLE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45497</v>
      </c>
      <c r="E556" s="1" t="n">
        <v>46293</v>
      </c>
      <c r="F556" t="inlineStr">
        <is>
          <t>VÄRMLANDS LÄN</t>
        </is>
      </c>
      <c r="G556" t="inlineStr">
        <is>
          <t>SÄFFLE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46293</v>
      </c>
      <c r="F557" t="inlineStr">
        <is>
          <t>VÄRMLANDS LÄN</t>
        </is>
      </c>
      <c r="G557" t="inlineStr">
        <is>
          <t>SÄFFLE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45625</v>
      </c>
      <c r="E558" s="1" t="n">
        <v>46293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45506</v>
      </c>
      <c r="E559" s="1" t="n">
        <v>46293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44581</v>
      </c>
      <c r="E560" s="1" t="n">
        <v>46293</v>
      </c>
      <c r="F560" t="inlineStr">
        <is>
          <t>VÄRMLANDS LÄN</t>
        </is>
      </c>
      <c r="G560" t="inlineStr">
        <is>
          <t>SÄFFLE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46293</v>
      </c>
      <c r="F561" t="inlineStr">
        <is>
          <t>VÄRMLANDS LÄN</t>
        </is>
      </c>
      <c r="G561" t="inlineStr">
        <is>
          <t>SÄFFLE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44607</v>
      </c>
      <c r="E562" s="1" t="n">
        <v>46293</v>
      </c>
      <c r="F562" t="inlineStr">
        <is>
          <t>VÄRMLANDS LÄN</t>
        </is>
      </c>
      <c r="G562" t="inlineStr">
        <is>
          <t>SÄFFLE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46293</v>
      </c>
      <c r="F563" t="inlineStr">
        <is>
          <t>VÄRMLANDS LÄN</t>
        </is>
      </c>
      <c r="G563" t="inlineStr">
        <is>
          <t>SÄFFLE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46293</v>
      </c>
      <c r="F564" t="inlineStr">
        <is>
          <t>VÄRMLANDS LÄN</t>
        </is>
      </c>
      <c r="G564" t="inlineStr">
        <is>
          <t>SÄFFLE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45711</v>
      </c>
      <c r="E565" s="1" t="n">
        <v>46293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46293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46293</v>
      </c>
      <c r="F567" t="inlineStr">
        <is>
          <t>VÄRMLANDS LÄN</t>
        </is>
      </c>
      <c r="G567" t="inlineStr">
        <is>
          <t>SÄFFLE</t>
        </is>
      </c>
      <c r="I567" t="n">
        <v>14.3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3950-2022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44587</v>
      </c>
      <c r="E568" s="1" t="n">
        <v>46293</v>
      </c>
      <c r="F568" t="inlineStr">
        <is>
          <t>VÄRMLANDS LÄN</t>
        </is>
      </c>
      <c r="G568" t="inlineStr">
        <is>
          <t>SÄFFLE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44606</v>
      </c>
      <c r="E569" s="1" t="n">
        <v>46293</v>
      </c>
      <c r="F569" t="inlineStr">
        <is>
          <t>VÄRMLANDS LÄN</t>
        </is>
      </c>
      <c r="G569" t="inlineStr">
        <is>
          <t>SÄFFLE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46293</v>
      </c>
      <c r="F570" t="inlineStr">
        <is>
          <t>VÄRMLANDS LÄN</t>
        </is>
      </c>
      <c r="G570" t="inlineStr">
        <is>
          <t>SÄFFLE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46293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46293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46293</v>
      </c>
      <c r="F573" t="inlineStr">
        <is>
          <t>VÄRMLANDS LÄN</t>
        </is>
      </c>
      <c r="G573" t="inlineStr">
        <is>
          <t>SÄFFLE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46209</v>
      </c>
      <c r="E574" s="1" t="n">
        <v>46293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46293</v>
      </c>
      <c r="F575" t="inlineStr">
        <is>
          <t>VÄRMLANDS LÄN</t>
        </is>
      </c>
      <c r="G575" t="inlineStr">
        <is>
          <t>SÄFFLE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46105</v>
      </c>
      <c r="E576" s="1" t="n">
        <v>46293</v>
      </c>
      <c r="F576" t="inlineStr">
        <is>
          <t>VÄRMLANDS LÄN</t>
        </is>
      </c>
      <c r="G576" t="inlineStr">
        <is>
          <t>SÄFFLE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46293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45621</v>
      </c>
      <c r="E578" s="1" t="n">
        <v>46293</v>
      </c>
      <c r="F578" t="inlineStr">
        <is>
          <t>VÄRMLANDS LÄN</t>
        </is>
      </c>
      <c r="G578" t="inlineStr">
        <is>
          <t>SÄFFLE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46293</v>
      </c>
      <c r="F579" t="inlineStr">
        <is>
          <t>VÄRMLANDS LÄN</t>
        </is>
      </c>
      <c r="G579" t="inlineStr">
        <is>
          <t>SÄFFLE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33902-2026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46293</v>
      </c>
      <c r="F580" t="inlineStr">
        <is>
          <t>VÄRMLANDS LÄN</t>
        </is>
      </c>
      <c r="G580" t="inlineStr">
        <is>
          <t>SÄFFLE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45313</v>
      </c>
      <c r="E581" s="1" t="n">
        <v>46293</v>
      </c>
      <c r="F581" t="inlineStr">
        <is>
          <t>VÄRMLANDS LÄN</t>
        </is>
      </c>
      <c r="G581" t="inlineStr">
        <is>
          <t>SÄFFLE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45107</v>
      </c>
      <c r="E582" s="1" t="n">
        <v>46293</v>
      </c>
      <c r="F582" t="inlineStr">
        <is>
          <t>VÄRMLANDS LÄN</t>
        </is>
      </c>
      <c r="G582" t="inlineStr">
        <is>
          <t>SÄFFLE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46293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46293</v>
      </c>
      <c r="F584" t="inlineStr">
        <is>
          <t>VÄRMLANDS LÄN</t>
        </is>
      </c>
      <c r="G584" t="inlineStr">
        <is>
          <t>SÄFFLE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11944-2022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44635</v>
      </c>
      <c r="E585" s="1" t="n">
        <v>46293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46293</v>
      </c>
      <c r="F586" t="inlineStr">
        <is>
          <t>VÄRMLANDS LÄN</t>
        </is>
      </c>
      <c r="G586" t="inlineStr">
        <is>
          <t>SÄFFLE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45057</v>
      </c>
      <c r="E587" s="1" t="n">
        <v>46293</v>
      </c>
      <c r="F587" t="inlineStr">
        <is>
          <t>VÄRMLANDS LÄN</t>
        </is>
      </c>
      <c r="G587" t="inlineStr">
        <is>
          <t>SÄFFLE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34251-2026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46253</v>
      </c>
      <c r="E588" s="1" t="n">
        <v>46293</v>
      </c>
      <c r="F588" t="inlineStr">
        <is>
          <t>VÄRMLANDS LÄN</t>
        </is>
      </c>
      <c r="G588" t="inlineStr">
        <is>
          <t>SÄFFLE</t>
        </is>
      </c>
      <c r="I588" t="n">
        <v>39.3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15691-2022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44663</v>
      </c>
      <c r="E589" s="1" t="n">
        <v>46293</v>
      </c>
      <c r="F589" t="inlineStr">
        <is>
          <t>VÄRMLANDS LÄN</t>
        </is>
      </c>
      <c r="G589" t="inlineStr">
        <is>
          <t>SÄFFLE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34628-2026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46293</v>
      </c>
      <c r="F590" t="inlineStr">
        <is>
          <t>VÄRMLANDS LÄN</t>
        </is>
      </c>
      <c r="G590" t="inlineStr">
        <is>
          <t>SÄFFLE</t>
        </is>
      </c>
      <c r="H590" t="inlineStr">
        <is>
          <t>Kyrkan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45704</v>
      </c>
      <c r="E591" s="1" t="n">
        <v>46293</v>
      </c>
      <c r="F591" t="inlineStr">
        <is>
          <t>VÄRMLANDS LÄN</t>
        </is>
      </c>
      <c r="G591" t="inlineStr">
        <is>
          <t>SÄFFLE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46293</v>
      </c>
      <c r="F592" t="inlineStr">
        <is>
          <t>VÄRMLANDS LÄN</t>
        </is>
      </c>
      <c r="G592" t="inlineStr">
        <is>
          <t>SÄFFLE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45147</v>
      </c>
      <c r="E593" s="1" t="n">
        <v>46293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46859-2024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46293</v>
      </c>
      <c r="F594" t="inlineStr">
        <is>
          <t>VÄRMLANDS LÄN</t>
        </is>
      </c>
      <c r="G594" t="inlineStr">
        <is>
          <t>SÄFFLE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51602-2023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45222</v>
      </c>
      <c r="E595" s="1" t="n">
        <v>46293</v>
      </c>
      <c r="F595" t="inlineStr">
        <is>
          <t>VÄRMLANDS LÄN</t>
        </is>
      </c>
      <c r="G595" t="inlineStr">
        <is>
          <t>SÄFFLE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46293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45237</v>
      </c>
      <c r="E597" s="1" t="n">
        <v>46293</v>
      </c>
      <c r="F597" t="inlineStr">
        <is>
          <t>VÄRMLANDS LÄN</t>
        </is>
      </c>
      <c r="G597" t="inlineStr">
        <is>
          <t>SÄFFLE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45769</v>
      </c>
      <c r="E598" s="1" t="n">
        <v>46293</v>
      </c>
      <c r="F598" t="inlineStr">
        <is>
          <t>VÄRMLANDS LÄN</t>
        </is>
      </c>
      <c r="G598" t="inlineStr">
        <is>
          <t>SÄFFLE</t>
        </is>
      </c>
      <c r="H598" t="inlineStr">
        <is>
          <t>Bergvik skog väst AB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45171</v>
      </c>
      <c r="E599" s="1" t="n">
        <v>46293</v>
      </c>
      <c r="F599" t="inlineStr">
        <is>
          <t>VÄRMLANDS LÄN</t>
        </is>
      </c>
      <c r="G599" t="inlineStr">
        <is>
          <t>SÄFFLE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46293</v>
      </c>
      <c r="F600" t="inlineStr">
        <is>
          <t>VÄRMLANDS LÄN</t>
        </is>
      </c>
      <c r="G600" t="inlineStr">
        <is>
          <t>SÄFFLE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46293</v>
      </c>
      <c r="F601" t="inlineStr">
        <is>
          <t>VÄRMLANDS LÄN</t>
        </is>
      </c>
      <c r="G601" t="inlineStr">
        <is>
          <t>SÄFFLE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46293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49770-2023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45212</v>
      </c>
      <c r="E603" s="1" t="n">
        <v>46293</v>
      </c>
      <c r="F603" t="inlineStr">
        <is>
          <t>VÄRMLANDS LÄN</t>
        </is>
      </c>
      <c r="G603" t="inlineStr">
        <is>
          <t>SÄFFLE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44823</v>
      </c>
      <c r="E604" s="1" t="n">
        <v>46293</v>
      </c>
      <c r="F604" t="inlineStr">
        <is>
          <t>VÄRMLANDS LÄN</t>
        </is>
      </c>
      <c r="G604" t="inlineStr">
        <is>
          <t>SÄFFLE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45681</v>
      </c>
      <c r="E605" s="1" t="n">
        <v>46293</v>
      </c>
      <c r="F605" t="inlineStr">
        <is>
          <t>VÄRMLANDS LÄN</t>
        </is>
      </c>
      <c r="G605" t="inlineStr">
        <is>
          <t>SÄFFLE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45165-2023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46293</v>
      </c>
      <c r="F606" t="inlineStr">
        <is>
          <t>VÄRMLANDS LÄN</t>
        </is>
      </c>
      <c r="G606" t="inlineStr">
        <is>
          <t>SÄFFLE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45699</v>
      </c>
      <c r="E607" s="1" t="n">
        <v>46293</v>
      </c>
      <c r="F607" t="inlineStr">
        <is>
          <t>VÄRMLANDS LÄN</t>
        </is>
      </c>
      <c r="G607" t="inlineStr">
        <is>
          <t>SÄFFLE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12232-2025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45729</v>
      </c>
      <c r="E608" s="1" t="n">
        <v>46293</v>
      </c>
      <c r="F608" t="inlineStr">
        <is>
          <t>VÄRMLANDS LÄN</t>
        </is>
      </c>
      <c r="G608" t="inlineStr">
        <is>
          <t>SÄFFLE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45223</v>
      </c>
      <c r="E609" s="1" t="n">
        <v>46293</v>
      </c>
      <c r="F609" t="inlineStr">
        <is>
          <t>VÄRMLANDS LÄN</t>
        </is>
      </c>
      <c r="G609" t="inlineStr">
        <is>
          <t>SÄFFLE</t>
        </is>
      </c>
      <c r="I609" t="n">
        <v>19.1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45517</v>
      </c>
      <c r="E610" s="1" t="n">
        <v>46293</v>
      </c>
      <c r="F610" t="inlineStr">
        <is>
          <t>VÄRMLANDS LÄN</t>
        </is>
      </c>
      <c r="G610" t="inlineStr">
        <is>
          <t>SÄFFLE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46293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46293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45295</v>
      </c>
      <c r="E613" s="1" t="n">
        <v>46293</v>
      </c>
      <c r="F613" t="inlineStr">
        <is>
          <t>VÄRMLANDS LÄN</t>
        </is>
      </c>
      <c r="G613" t="inlineStr">
        <is>
          <t>SÄFFLE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46293</v>
      </c>
      <c r="F614" t="inlineStr">
        <is>
          <t>VÄRMLANDS LÄN</t>
        </is>
      </c>
      <c r="G614" t="inlineStr">
        <is>
          <t>SÄFFLE</t>
        </is>
      </c>
      <c r="H614" t="inlineStr">
        <is>
          <t>Kommuner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42319-2023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45180</v>
      </c>
      <c r="E615" s="1" t="n">
        <v>46293</v>
      </c>
      <c r="F615" t="inlineStr">
        <is>
          <t>VÄRMLANDS LÄN</t>
        </is>
      </c>
      <c r="G615" t="inlineStr">
        <is>
          <t>SÄFFLE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46266</v>
      </c>
      <c r="E616" s="1" t="n">
        <v>46293</v>
      </c>
      <c r="F616" t="inlineStr">
        <is>
          <t>VÄRMLANDS LÄN</t>
        </is>
      </c>
      <c r="G616" t="inlineStr">
        <is>
          <t>SÄFFLE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46266</v>
      </c>
      <c r="E617" s="1" t="n">
        <v>46293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46293</v>
      </c>
      <c r="F618" t="inlineStr">
        <is>
          <t>VÄRMLANDS LÄN</t>
        </is>
      </c>
      <c r="G618" t="inlineStr">
        <is>
          <t>SÄFFLE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45728</v>
      </c>
      <c r="E619" s="1" t="n">
        <v>46293</v>
      </c>
      <c r="F619" t="inlineStr">
        <is>
          <t>VÄRMLANDS LÄN</t>
        </is>
      </c>
      <c r="G619" t="inlineStr">
        <is>
          <t>SÄFFLE</t>
        </is>
      </c>
      <c r="I619" t="n">
        <v>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46266</v>
      </c>
      <c r="E620" s="1" t="n">
        <v>46293</v>
      </c>
      <c r="F620" t="inlineStr">
        <is>
          <t>VÄRMLANDS LÄN</t>
        </is>
      </c>
      <c r="G620" t="inlineStr">
        <is>
          <t>SÄFFLE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46293</v>
      </c>
      <c r="F621" t="inlineStr">
        <is>
          <t>VÄRMLANDS LÄN</t>
        </is>
      </c>
      <c r="G621" t="inlineStr">
        <is>
          <t>SÄFFLE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64368-2023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45278</v>
      </c>
      <c r="E622" s="1" t="n">
        <v>46293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47336-2022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44853</v>
      </c>
      <c r="E623" s="1" t="n">
        <v>46293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46293</v>
      </c>
      <c r="F624" t="inlineStr">
        <is>
          <t>VÄRMLANDS LÄN</t>
        </is>
      </c>
      <c r="G624" t="inlineStr">
        <is>
          <t>SÄFFLE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46293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44988</v>
      </c>
      <c r="E626" s="1" t="n">
        <v>46293</v>
      </c>
      <c r="F626" t="inlineStr">
        <is>
          <t>VÄRMLANDS LÄN</t>
        </is>
      </c>
      <c r="G626" t="inlineStr">
        <is>
          <t>SÄFFLE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46293</v>
      </c>
      <c r="F627" t="inlineStr">
        <is>
          <t>VÄRMLANDS LÄN</t>
        </is>
      </c>
      <c r="G627" t="inlineStr">
        <is>
          <t>SÄFFLE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46293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46269</v>
      </c>
      <c r="E629" s="1" t="n">
        <v>46293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36972-2026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46273</v>
      </c>
      <c r="E630" s="1" t="n">
        <v>46293</v>
      </c>
      <c r="F630" t="inlineStr">
        <is>
          <t>VÄRMLANDS LÄN</t>
        </is>
      </c>
      <c r="G630" t="inlineStr">
        <is>
          <t>SÄFFLE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46293</v>
      </c>
      <c r="F631" t="inlineStr">
        <is>
          <t>VÄRMLANDS LÄN</t>
        </is>
      </c>
      <c r="G631" t="inlineStr">
        <is>
          <t>SÄFFLE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61223-2023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45264</v>
      </c>
      <c r="E632" s="1" t="n">
        <v>46293</v>
      </c>
      <c r="F632" t="inlineStr">
        <is>
          <t>VÄRMLANDS LÄN</t>
        </is>
      </c>
      <c r="G632" t="inlineStr">
        <is>
          <t>SÄFFLE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47236-2022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46293</v>
      </c>
      <c r="F633" t="inlineStr">
        <is>
          <t>VÄRMLANDS LÄN</t>
        </is>
      </c>
      <c r="G633" t="inlineStr">
        <is>
          <t>SÄFFLE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46293</v>
      </c>
      <c r="F634" t="inlineStr">
        <is>
          <t>VÄRMLANDS LÄN</t>
        </is>
      </c>
      <c r="G634" t="inlineStr">
        <is>
          <t>SÄFFLE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36966-2026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46273</v>
      </c>
      <c r="E635" s="1" t="n">
        <v>46293</v>
      </c>
      <c r="F635" t="inlineStr">
        <is>
          <t>VÄRMLANDS LÄN</t>
        </is>
      </c>
      <c r="G635" t="inlineStr">
        <is>
          <t>SÄFFLE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45239</v>
      </c>
      <c r="E636" s="1" t="n">
        <v>46293</v>
      </c>
      <c r="F636" t="inlineStr">
        <is>
          <t>VÄRMLANDS LÄN</t>
        </is>
      </c>
      <c r="G636" t="inlineStr">
        <is>
          <t>SÄFFLE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44868</v>
      </c>
      <c r="E637" s="1" t="n">
        <v>46293</v>
      </c>
      <c r="F637" t="inlineStr">
        <is>
          <t>VÄRMLANDS LÄN</t>
        </is>
      </c>
      <c r="G637" t="inlineStr">
        <is>
          <t>SÄFFLE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46293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46293</v>
      </c>
      <c r="F639" t="inlineStr">
        <is>
          <t>VÄRMLANDS LÄN</t>
        </is>
      </c>
      <c r="G639" t="inlineStr">
        <is>
          <t>SÄFFLE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46293</v>
      </c>
      <c r="F640" t="inlineStr">
        <is>
          <t>VÄRMLANDS LÄN</t>
        </is>
      </c>
      <c r="G640" t="inlineStr">
        <is>
          <t>SÄFFLE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46293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46293</v>
      </c>
      <c r="F642" t="inlineStr">
        <is>
          <t>VÄRMLANDS LÄN</t>
        </is>
      </c>
      <c r="G642" t="inlineStr">
        <is>
          <t>SÄFFLE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46293</v>
      </c>
      <c r="F643" t="inlineStr">
        <is>
          <t>VÄRMLANDS LÄN</t>
        </is>
      </c>
      <c r="G643" t="inlineStr">
        <is>
          <t>SÄFFLE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46293</v>
      </c>
      <c r="F644" t="inlineStr">
        <is>
          <t>VÄRMLANDS LÄN</t>
        </is>
      </c>
      <c r="G644" t="inlineStr">
        <is>
          <t>SÄFFLE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46293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46293</v>
      </c>
      <c r="F646" t="inlineStr">
        <is>
          <t>VÄRMLANDS LÄN</t>
        </is>
      </c>
      <c r="G646" t="inlineStr">
        <is>
          <t>SÄFFLE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45700</v>
      </c>
      <c r="E647" s="1" t="n">
        <v>46293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45527</v>
      </c>
      <c r="E648" s="1" t="n">
        <v>46293</v>
      </c>
      <c r="F648" t="inlineStr">
        <is>
          <t>VÄRMLANDS LÄN</t>
        </is>
      </c>
      <c r="G648" t="inlineStr">
        <is>
          <t>SÄFFLE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46293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32206-2026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46293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46293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46293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46293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46293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62550-2022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44924</v>
      </c>
      <c r="E655" s="1" t="n">
        <v>46293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45728</v>
      </c>
      <c r="E656" s="1" t="n">
        <v>46293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46293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46293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49528-2023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46293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16802-2026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46293</v>
      </c>
      <c r="F660" t="inlineStr">
        <is>
          <t>VÄRMLANDS LÄN</t>
        </is>
      </c>
      <c r="G660" t="inlineStr">
        <is>
          <t>SÄFFLE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38256-2026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46281</v>
      </c>
      <c r="E661" s="1" t="n">
        <v>46293</v>
      </c>
      <c r="F661" t="inlineStr">
        <is>
          <t>VÄRMLANDS LÄN</t>
        </is>
      </c>
      <c r="G661" t="inlineStr">
        <is>
          <t>SÄFFLE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45740</v>
      </c>
      <c r="E662" s="1" t="n">
        <v>46293</v>
      </c>
      <c r="F662" t="inlineStr">
        <is>
          <t>VÄRMLANDS LÄN</t>
        </is>
      </c>
      <c r="G662" t="inlineStr">
        <is>
          <t>SÄFFLE</t>
        </is>
      </c>
      <c r="H662" t="inlineStr">
        <is>
          <t>Bergvik skog väst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46293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55054-2024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45621</v>
      </c>
      <c r="E664" s="1" t="n">
        <v>46293</v>
      </c>
      <c r="F664" t="inlineStr">
        <is>
          <t>VÄRMLANDS LÄN</t>
        </is>
      </c>
      <c r="G664" t="inlineStr">
        <is>
          <t>SÄFFLE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46293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45597</v>
      </c>
      <c r="E666" s="1" t="n">
        <v>46293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59708-2022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44900</v>
      </c>
      <c r="E667" s="1" t="n">
        <v>46293</v>
      </c>
      <c r="F667" t="inlineStr">
        <is>
          <t>VÄRMLANDS LÄN</t>
        </is>
      </c>
      <c r="G667" t="inlineStr">
        <is>
          <t>SÄFFLE</t>
        </is>
      </c>
      <c r="I667" t="n">
        <v>11.2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38652-2026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46293</v>
      </c>
      <c r="F668" t="inlineStr">
        <is>
          <t>VÄRMLANDS LÄN</t>
        </is>
      </c>
      <c r="G668" t="inlineStr">
        <is>
          <t>SÄFFLE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46293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52174-2024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45608</v>
      </c>
      <c r="E670" s="1" t="n">
        <v>46293</v>
      </c>
      <c r="F670" t="inlineStr">
        <is>
          <t>VÄRMLANDS LÄN</t>
        </is>
      </c>
      <c r="G670" t="inlineStr">
        <is>
          <t>SÄFFLE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45391</v>
      </c>
      <c r="E671" s="1" t="n">
        <v>46293</v>
      </c>
      <c r="F671" t="inlineStr">
        <is>
          <t>VÄRMLANDS LÄN</t>
        </is>
      </c>
      <c r="G671" t="inlineStr">
        <is>
          <t>SÄFFLE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46293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46293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45450</v>
      </c>
      <c r="E674" s="1" t="n">
        <v>46293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18106-2023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45040</v>
      </c>
      <c r="E675" s="1" t="n">
        <v>46293</v>
      </c>
      <c r="F675" t="inlineStr">
        <is>
          <t>VÄRMLANDS LÄN</t>
        </is>
      </c>
      <c r="G675" t="inlineStr">
        <is>
          <t>SÄFFLE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46293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46287</v>
      </c>
      <c r="E677" s="1" t="n">
        <v>46293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40799-2022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44824</v>
      </c>
      <c r="E678" s="1" t="n">
        <v>46293</v>
      </c>
      <c r="F678" t="inlineStr">
        <is>
          <t>VÄRMLANDS LÄN</t>
        </is>
      </c>
      <c r="G678" t="inlineStr">
        <is>
          <t>SÄFFLE</t>
        </is>
      </c>
      <c r="I678" t="n">
        <v>11.4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43995-2024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45572</v>
      </c>
      <c r="E679" s="1" t="n">
        <v>46293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43341-2025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45910</v>
      </c>
      <c r="E680" s="1" t="n">
        <v>46293</v>
      </c>
      <c r="F680" t="inlineStr">
        <is>
          <t>VÄRMLANDS LÄN</t>
        </is>
      </c>
      <c r="G680" t="inlineStr">
        <is>
          <t>SÄFFLE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46293</v>
      </c>
      <c r="F681" t="inlineStr">
        <is>
          <t>VÄRMLANDS LÄN</t>
        </is>
      </c>
      <c r="G681" t="inlineStr">
        <is>
          <t>SÄFFLE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44745</v>
      </c>
      <c r="E682" s="1" t="n">
        <v>46293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62641-2023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46293</v>
      </c>
      <c r="F683" t="inlineStr">
        <is>
          <t>VÄRMLANDS LÄN</t>
        </is>
      </c>
      <c r="G683" t="inlineStr">
        <is>
          <t>SÄFFLE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46293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26.6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46293</v>
      </c>
      <c r="F685" t="inlineStr">
        <is>
          <t>VÄRMLANDS LÄN</t>
        </is>
      </c>
      <c r="G685" t="inlineStr">
        <is>
          <t>SÄFFLE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44763</v>
      </c>
      <c r="E686" s="1" t="n">
        <v>46293</v>
      </c>
      <c r="F686" t="inlineStr">
        <is>
          <t>VÄRMLANDS LÄN</t>
        </is>
      </c>
      <c r="G686" t="inlineStr">
        <is>
          <t>SÄFFLE</t>
        </is>
      </c>
      <c r="H686" t="inlineStr">
        <is>
          <t>Kyrkan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17916-2024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45419</v>
      </c>
      <c r="E687" s="1" t="n">
        <v>46293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73662-2021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44552</v>
      </c>
      <c r="E688" s="1" t="n">
        <v>46293</v>
      </c>
      <c r="F688" t="inlineStr">
        <is>
          <t>VÄRMLANDS LÄN</t>
        </is>
      </c>
      <c r="G688" t="inlineStr">
        <is>
          <t>SÄFFLE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40487-2022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44819</v>
      </c>
      <c r="E689" s="1" t="n">
        <v>46293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46293</v>
      </c>
      <c r="F690" t="inlineStr">
        <is>
          <t>VÄRMLANDS LÄN</t>
        </is>
      </c>
      <c r="G690" t="inlineStr">
        <is>
          <t>SÄFFLE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45341</v>
      </c>
      <c r="E691" s="1" t="n">
        <v>46293</v>
      </c>
      <c r="F691" t="inlineStr">
        <is>
          <t>VÄRMLANDS LÄN</t>
        </is>
      </c>
      <c r="G691" t="inlineStr">
        <is>
          <t>SÄFFLE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13493-2024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46293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15632-2024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45403</v>
      </c>
      <c r="E693" s="1" t="n">
        <v>46293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16484-2022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44671</v>
      </c>
      <c r="E694" s="1" t="n">
        <v>46293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58653-2023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45251</v>
      </c>
      <c r="E695" s="1" t="n">
        <v>46293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61677-2021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44501</v>
      </c>
      <c r="E696" s="1" t="n">
        <v>46293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44909</v>
      </c>
      <c r="E697" s="1" t="n">
        <v>46293</v>
      </c>
      <c r="F697" t="inlineStr">
        <is>
          <t>VÄRMLANDS LÄN</t>
        </is>
      </c>
      <c r="G697" t="inlineStr">
        <is>
          <t>SÄFFLE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16494-2022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44671</v>
      </c>
      <c r="E698" s="1" t="n">
        <v>46293</v>
      </c>
      <c r="F698" t="inlineStr">
        <is>
          <t>VÄRMLANDS LÄN</t>
        </is>
      </c>
      <c r="G698" t="inlineStr">
        <is>
          <t>SÄFFLE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32747-2024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45516</v>
      </c>
      <c r="E699" s="1" t="n">
        <v>46293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45516</v>
      </c>
      <c r="E700" s="1" t="n">
        <v>46293</v>
      </c>
      <c r="F700" t="inlineStr">
        <is>
          <t>VÄRMLANDS LÄN</t>
        </is>
      </c>
      <c r="G700" t="inlineStr">
        <is>
          <t>SÄFFLE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31945-2022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44777</v>
      </c>
      <c r="E701" s="1" t="n">
        <v>46293</v>
      </c>
      <c r="F701" t="inlineStr">
        <is>
          <t>VÄRMLANDS LÄN</t>
        </is>
      </c>
      <c r="G701" t="inlineStr">
        <is>
          <t>SÄFFLE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45425</v>
      </c>
      <c r="E702" s="1" t="n">
        <v>46293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45012</v>
      </c>
      <c r="E703" s="1" t="n">
        <v>46293</v>
      </c>
      <c r="F703" t="inlineStr">
        <is>
          <t>VÄRMLANDS LÄN</t>
        </is>
      </c>
      <c r="G703" t="inlineStr">
        <is>
          <t>SÄFFLE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39726-2026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46289</v>
      </c>
      <c r="E704" s="1" t="n">
        <v>46293</v>
      </c>
      <c r="F704" t="inlineStr">
        <is>
          <t>VÄRMLANDS LÄN</t>
        </is>
      </c>
      <c r="G704" t="inlineStr">
        <is>
          <t>SÄFFLE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58383-2021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44488</v>
      </c>
      <c r="E705" s="1" t="n">
        <v>46293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49979-2024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45597</v>
      </c>
      <c r="E706" s="1" t="n">
        <v>46293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53239-2021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44468</v>
      </c>
      <c r="E707" s="1" t="n">
        <v>46293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46293</v>
      </c>
      <c r="F708" t="inlineStr">
        <is>
          <t>VÄRMLANDS LÄN</t>
        </is>
      </c>
      <c r="G708" t="inlineStr">
        <is>
          <t>SÄFFLE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43894-2024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45572</v>
      </c>
      <c r="E709" s="1" t="n">
        <v>46293</v>
      </c>
      <c r="F709" t="inlineStr">
        <is>
          <t>VÄRMLANDS LÄN</t>
        </is>
      </c>
      <c r="G709" t="inlineStr">
        <is>
          <t>SÄFFLE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44608</v>
      </c>
      <c r="E710" s="1" t="n">
        <v>46293</v>
      </c>
      <c r="F710" t="inlineStr">
        <is>
          <t>VÄRMLANDS LÄN</t>
        </is>
      </c>
      <c r="G710" t="inlineStr">
        <is>
          <t>SÄFFLE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45040</v>
      </c>
      <c r="E711" s="1" t="n">
        <v>46293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44952</v>
      </c>
      <c r="E712" s="1" t="n">
        <v>46293</v>
      </c>
      <c r="F712" t="inlineStr">
        <is>
          <t>VÄRMLANDS LÄN</t>
        </is>
      </c>
      <c r="G712" t="inlineStr">
        <is>
          <t>SÄFFLE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55274-2023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45237</v>
      </c>
      <c r="E713" s="1" t="n">
        <v>46293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40466-2024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46293</v>
      </c>
      <c r="F714" t="inlineStr">
        <is>
          <t>VÄRMLANDS LÄN</t>
        </is>
      </c>
      <c r="G714" t="inlineStr">
        <is>
          <t>SÄFFLE</t>
        </is>
      </c>
      <c r="I714" t="n">
        <v>17.3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45631</v>
      </c>
      <c r="E715" s="1" t="n">
        <v>46293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29508-2023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45106</v>
      </c>
      <c r="E716" s="1" t="n">
        <v>46293</v>
      </c>
      <c r="F716" t="inlineStr">
        <is>
          <t>VÄRMLANDS LÄN</t>
        </is>
      </c>
      <c r="G716" t="inlineStr">
        <is>
          <t>SÄFFLE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46293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45471</v>
      </c>
      <c r="E718" s="1" t="n">
        <v>46293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11398-2024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45372</v>
      </c>
      <c r="E719" s="1" t="n">
        <v>46293</v>
      </c>
      <c r="F719" t="inlineStr">
        <is>
          <t>VÄRMLANDS LÄN</t>
        </is>
      </c>
      <c r="G719" t="inlineStr">
        <is>
          <t>SÄFFLE</t>
        </is>
      </c>
      <c r="H719" t="inlineStr">
        <is>
          <t>Bergvik skog väst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57089-2023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45245</v>
      </c>
      <c r="E720" s="1" t="n">
        <v>46293</v>
      </c>
      <c r="F720" t="inlineStr">
        <is>
          <t>VÄRMLANDS LÄN</t>
        </is>
      </c>
      <c r="G720" t="inlineStr">
        <is>
          <t>SÄFFLE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45394</v>
      </c>
      <c r="E721" s="1" t="n">
        <v>46293</v>
      </c>
      <c r="F721" t="inlineStr">
        <is>
          <t>VÄRMLANDS LÄN</t>
        </is>
      </c>
      <c r="G721" t="inlineStr">
        <is>
          <t>SÄFFLE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46293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45156</v>
      </c>
      <c r="E723" s="1" t="n">
        <v>46293</v>
      </c>
      <c r="F723" t="inlineStr">
        <is>
          <t>VÄRMLANDS LÄN</t>
        </is>
      </c>
      <c r="G723" t="inlineStr">
        <is>
          <t>SÄFFLE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46293</v>
      </c>
      <c r="F724" t="inlineStr">
        <is>
          <t>VÄRMLANDS LÄN</t>
        </is>
      </c>
      <c r="G724" t="inlineStr">
        <is>
          <t>SÄFFLE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12134-2023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44998</v>
      </c>
      <c r="E725" s="1" t="n">
        <v>46293</v>
      </c>
      <c r="F725" t="inlineStr">
        <is>
          <t>VÄRMLANDS LÄN</t>
        </is>
      </c>
      <c r="G725" t="inlineStr">
        <is>
          <t>SÄFFLE</t>
        </is>
      </c>
      <c r="I725" t="n">
        <v>11.1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40630-2022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44823</v>
      </c>
      <c r="E726" s="1" t="n">
        <v>46293</v>
      </c>
      <c r="F726" t="inlineStr">
        <is>
          <t>VÄRMLANDS LÄN</t>
        </is>
      </c>
      <c r="G726" t="inlineStr">
        <is>
          <t>SÄFFLE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45457</v>
      </c>
      <c r="E727" s="1" t="n">
        <v>46293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44929</v>
      </c>
      <c r="E728" s="1" t="n">
        <v>46293</v>
      </c>
      <c r="F728" t="inlineStr">
        <is>
          <t>VÄRMLANDS LÄN</t>
        </is>
      </c>
      <c r="G728" t="inlineStr">
        <is>
          <t>SÄFFLE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45523</v>
      </c>
      <c r="E729" s="1" t="n">
        <v>46293</v>
      </c>
      <c r="F729" t="inlineStr">
        <is>
          <t>VÄRMLANDS LÄN</t>
        </is>
      </c>
      <c r="G729" t="inlineStr">
        <is>
          <t>SÄFFLE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46293</v>
      </c>
      <c r="F730" t="inlineStr">
        <is>
          <t>VÄRMLANDS LÄN</t>
        </is>
      </c>
      <c r="G730" t="inlineStr">
        <is>
          <t>SÄFFLE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46293</v>
      </c>
      <c r="F731" t="inlineStr">
        <is>
          <t>VÄRMLANDS LÄN</t>
        </is>
      </c>
      <c r="G731" t="inlineStr">
        <is>
          <t>SÄFFLE</t>
        </is>
      </c>
      <c r="I731" t="n">
        <v>7.6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67203-2021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44523</v>
      </c>
      <c r="E732" s="1" t="n">
        <v>46293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45522</v>
      </c>
      <c r="E733" s="1" t="n">
        <v>46293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45495</v>
      </c>
      <c r="E734" s="1" t="n">
        <v>46293</v>
      </c>
      <c r="F734" t="inlineStr">
        <is>
          <t>VÄRMLANDS LÄN</t>
        </is>
      </c>
      <c r="G734" t="inlineStr">
        <is>
          <t>SÄFFLE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46293</v>
      </c>
      <c r="F735" t="inlineStr">
        <is>
          <t>VÄRMLANDS LÄN</t>
        </is>
      </c>
      <c r="G735" t="inlineStr">
        <is>
          <t>SÄFFLE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58105-2021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44487</v>
      </c>
      <c r="E736" s="1" t="n">
        <v>46293</v>
      </c>
      <c r="F736" t="inlineStr">
        <is>
          <t>VÄRMLANDS LÄN</t>
        </is>
      </c>
      <c r="G736" t="inlineStr">
        <is>
          <t>SÄFFLE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33245-2023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45127</v>
      </c>
      <c r="E737" s="1" t="n">
        <v>46293</v>
      </c>
      <c r="F737" t="inlineStr">
        <is>
          <t>VÄRMLANDS LÄN</t>
        </is>
      </c>
      <c r="G737" t="inlineStr">
        <is>
          <t>SÄFFLE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45667</v>
      </c>
      <c r="E738" s="1" t="n">
        <v>46293</v>
      </c>
      <c r="F738" t="inlineStr">
        <is>
          <t>VÄRMLANDS LÄN</t>
        </is>
      </c>
      <c r="G738" t="inlineStr">
        <is>
          <t>SÄFFLE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44916</v>
      </c>
      <c r="E739" s="1" t="n">
        <v>46293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45266</v>
      </c>
      <c r="E740" s="1" t="n">
        <v>46293</v>
      </c>
      <c r="F740" t="inlineStr">
        <is>
          <t>VÄRMLANDS LÄN</t>
        </is>
      </c>
      <c r="G740" t="inlineStr">
        <is>
          <t>SÄFFLE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73119-2021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44546</v>
      </c>
      <c r="E741" s="1" t="n">
        <v>46293</v>
      </c>
      <c r="F741" t="inlineStr">
        <is>
          <t>VÄRMLANDS LÄN</t>
        </is>
      </c>
      <c r="G741" t="inlineStr">
        <is>
          <t>SÄFFLE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45147</v>
      </c>
      <c r="E742" s="1" t="n">
        <v>46293</v>
      </c>
      <c r="F742" t="inlineStr">
        <is>
          <t>VÄRMLANDS LÄN</t>
        </is>
      </c>
      <c r="G742" t="inlineStr">
        <is>
          <t>SÄFFLE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8058-2022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44609</v>
      </c>
      <c r="E743" s="1" t="n">
        <v>46293</v>
      </c>
      <c r="F743" t="inlineStr">
        <is>
          <t>VÄRMLANDS LÄN</t>
        </is>
      </c>
      <c r="G743" t="inlineStr">
        <is>
          <t>SÄFFLE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45411</v>
      </c>
      <c r="E744" s="1" t="n">
        <v>46293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45365</v>
      </c>
      <c r="E745" s="1" t="n">
        <v>46293</v>
      </c>
      <c r="F745" t="inlineStr">
        <is>
          <t>VÄRMLANDS LÄN</t>
        </is>
      </c>
      <c r="G745" t="inlineStr">
        <is>
          <t>SÄFFLE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45324</v>
      </c>
      <c r="E746" s="1" t="n">
        <v>46293</v>
      </c>
      <c r="F746" t="inlineStr">
        <is>
          <t>VÄRMLANDS LÄN</t>
        </is>
      </c>
      <c r="G746" t="inlineStr">
        <is>
          <t>SÄFFLE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45055</v>
      </c>
      <c r="E747" s="1" t="n">
        <v>46293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8737-2024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45356</v>
      </c>
      <c r="E748" s="1" t="n">
        <v>46293</v>
      </c>
      <c r="F748" t="inlineStr">
        <is>
          <t>VÄRMLANDS LÄN</t>
        </is>
      </c>
      <c r="G748" t="inlineStr">
        <is>
          <t>SÄFFLE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45719</v>
      </c>
      <c r="E749" s="1" t="n">
        <v>46293</v>
      </c>
      <c r="F749" t="inlineStr">
        <is>
          <t>VÄRMLANDS LÄN</t>
        </is>
      </c>
      <c r="G749" t="inlineStr">
        <is>
          <t>SÄFFLE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21821-2022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44709</v>
      </c>
      <c r="E750" s="1" t="n">
        <v>46293</v>
      </c>
      <c r="F750" t="inlineStr">
        <is>
          <t>VÄRMLANDS LÄN</t>
        </is>
      </c>
      <c r="G750" t="inlineStr">
        <is>
          <t>SÄFFLE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13321-2023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45005</v>
      </c>
      <c r="E751" s="1" t="n">
        <v>46293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64073-2023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45279</v>
      </c>
      <c r="E752" s="1" t="n">
        <v>46293</v>
      </c>
      <c r="F752" t="inlineStr">
        <is>
          <t>VÄRMLANDS LÄN</t>
        </is>
      </c>
      <c r="G752" t="inlineStr">
        <is>
          <t>SÄFFLE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44896</v>
      </c>
      <c r="E753" s="1" t="n">
        <v>46293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45474</v>
      </c>
      <c r="E754" s="1" t="n">
        <v>46293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44921</v>
      </c>
      <c r="E755" s="1" t="n">
        <v>46293</v>
      </c>
      <c r="F755" t="inlineStr">
        <is>
          <t>VÄRMLANDS LÄN</t>
        </is>
      </c>
      <c r="G755" t="inlineStr">
        <is>
          <t>SÄFFLE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9612-2024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45361</v>
      </c>
      <c r="E756" s="1" t="n">
        <v>46293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28267-2024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45477</v>
      </c>
      <c r="E757" s="1" t="n">
        <v>46293</v>
      </c>
      <c r="F757" t="inlineStr">
        <is>
          <t>VÄRMLANDS LÄN</t>
        </is>
      </c>
      <c r="G757" t="inlineStr">
        <is>
          <t>SÄFFLE</t>
        </is>
      </c>
      <c r="I757" t="n">
        <v>9.4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44959</v>
      </c>
      <c r="E758" s="1" t="n">
        <v>46293</v>
      </c>
      <c r="F758" t="inlineStr">
        <is>
          <t>VÄRMLANDS LÄN</t>
        </is>
      </c>
      <c r="G758" t="inlineStr">
        <is>
          <t>SÄFFLE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44945</v>
      </c>
      <c r="E759" s="1" t="n">
        <v>46293</v>
      </c>
      <c r="F759" t="inlineStr">
        <is>
          <t>VÄRMLANDS LÄN</t>
        </is>
      </c>
      <c r="G759" t="inlineStr">
        <is>
          <t>SÄFFLE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37420-2023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46293</v>
      </c>
      <c r="F760" t="inlineStr">
        <is>
          <t>VÄRMLANDS LÄN</t>
        </is>
      </c>
      <c r="G760" t="inlineStr">
        <is>
          <t>SÄFFLE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58639-2024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45635</v>
      </c>
      <c r="E761" s="1" t="n">
        <v>46293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33857-2023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45133</v>
      </c>
      <c r="E762" s="1" t="n">
        <v>46293</v>
      </c>
      <c r="F762" t="inlineStr">
        <is>
          <t>VÄRMLANDS LÄN</t>
        </is>
      </c>
      <c r="G762" t="inlineStr">
        <is>
          <t>SÄFFLE</t>
        </is>
      </c>
      <c r="I762" t="n">
        <v>29.5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64366-2023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46293</v>
      </c>
      <c r="F763" t="inlineStr">
        <is>
          <t>VÄRMLANDS LÄN</t>
        </is>
      </c>
      <c r="G763" t="inlineStr">
        <is>
          <t>SÄFFLE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41804-2023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45176</v>
      </c>
      <c r="E764" s="1" t="n">
        <v>46293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55090-2022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44881</v>
      </c>
      <c r="E765" s="1" t="n">
        <v>46293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55094-2022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44886</v>
      </c>
      <c r="E766" s="1" t="n">
        <v>46293</v>
      </c>
      <c r="F766" t="inlineStr">
        <is>
          <t>VÄRMLANDS LÄN</t>
        </is>
      </c>
      <c r="G766" t="inlineStr">
        <is>
          <t>SÄFFLE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40863-2023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45173</v>
      </c>
      <c r="E767" s="1" t="n">
        <v>46293</v>
      </c>
      <c r="F767" t="inlineStr">
        <is>
          <t>VÄRMLANDS LÄN</t>
        </is>
      </c>
      <c r="G767" t="inlineStr">
        <is>
          <t>SÄFFLE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45677</v>
      </c>
      <c r="E768" s="1" t="n">
        <v>46293</v>
      </c>
      <c r="F768" t="inlineStr">
        <is>
          <t>VÄRMLANDS LÄN</t>
        </is>
      </c>
      <c r="G768" t="inlineStr">
        <is>
          <t>SÄFFLE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45337</v>
      </c>
      <c r="E769" s="1" t="n">
        <v>46293</v>
      </c>
      <c r="F769" t="inlineStr">
        <is>
          <t>VÄRMLANDS LÄN</t>
        </is>
      </c>
      <c r="G769" t="inlineStr">
        <is>
          <t>SÄFFLE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32102-2023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45107</v>
      </c>
      <c r="E770" s="1" t="n">
        <v>46293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45667</v>
      </c>
      <c r="E771" s="1" t="n">
        <v>46293</v>
      </c>
      <c r="F771" t="inlineStr">
        <is>
          <t>VÄRMLANDS LÄN</t>
        </is>
      </c>
      <c r="G771" t="inlineStr">
        <is>
          <t>SÄFFLE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45712</v>
      </c>
      <c r="E772" s="1" t="n">
        <v>46293</v>
      </c>
      <c r="F772" t="inlineStr">
        <is>
          <t>VÄRMLANDS LÄN</t>
        </is>
      </c>
      <c r="G772" t="inlineStr">
        <is>
          <t>SÄFFLE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25947-2022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44734</v>
      </c>
      <c r="E773" s="1" t="n">
        <v>46293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45747</v>
      </c>
      <c r="E774" s="1" t="n">
        <v>46293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21396-2024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46293</v>
      </c>
      <c r="F775" t="inlineStr">
        <is>
          <t>VÄRMLANDS LÄN</t>
        </is>
      </c>
      <c r="G775" t="inlineStr">
        <is>
          <t>SÄFFLE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8138-2025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45707</v>
      </c>
      <c r="E776" s="1" t="n">
        <v>46293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51189-2024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45603</v>
      </c>
      <c r="E777" s="1" t="n">
        <v>46293</v>
      </c>
      <c r="F777" t="inlineStr">
        <is>
          <t>VÄRMLANDS LÄN</t>
        </is>
      </c>
      <c r="G777" t="inlineStr">
        <is>
          <t>SÄFFLE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4194-2025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45685</v>
      </c>
      <c r="E778" s="1" t="n">
        <v>46293</v>
      </c>
      <c r="F778" t="inlineStr">
        <is>
          <t>VÄRMLANDS LÄN</t>
        </is>
      </c>
      <c r="G778" t="inlineStr">
        <is>
          <t>SÄFFLE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45480-2024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45576</v>
      </c>
      <c r="E779" s="1" t="n">
        <v>46293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59807-2024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46293</v>
      </c>
      <c r="F780" t="inlineStr">
        <is>
          <t>VÄRMLANDS LÄN</t>
        </is>
      </c>
      <c r="G780" t="inlineStr">
        <is>
          <t>SÄFFLE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46293</v>
      </c>
      <c r="F781" t="inlineStr">
        <is>
          <t>VÄRMLANDS LÄN</t>
        </is>
      </c>
      <c r="G781" t="inlineStr">
        <is>
          <t>SÄFFLE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45380</v>
      </c>
      <c r="E782" s="1" t="n">
        <v>46293</v>
      </c>
      <c r="F782" t="inlineStr">
        <is>
          <t>VÄRMLANDS LÄN</t>
        </is>
      </c>
      <c r="G782" t="inlineStr">
        <is>
          <t>SÄFFLE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46293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45784</v>
      </c>
      <c r="E784" s="1" t="n">
        <v>46293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10697-2024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45369</v>
      </c>
      <c r="E785" s="1" t="n">
        <v>46293</v>
      </c>
      <c r="F785" t="inlineStr">
        <is>
          <t>VÄRMLANDS LÄN</t>
        </is>
      </c>
      <c r="G785" t="inlineStr">
        <is>
          <t>SÄFFLE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21745-2025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46293</v>
      </c>
      <c r="F786" t="inlineStr">
        <is>
          <t>VÄRMLANDS LÄN</t>
        </is>
      </c>
      <c r="G786" t="inlineStr">
        <is>
          <t>SÄFFLE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46293</v>
      </c>
      <c r="F787" t="inlineStr">
        <is>
          <t>VÄRMLANDS LÄN</t>
        </is>
      </c>
      <c r="G787" t="inlineStr">
        <is>
          <t>SÄFFLE</t>
        </is>
      </c>
      <c r="I787" t="n">
        <v>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3752-2025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46293</v>
      </c>
      <c r="F788" t="inlineStr">
        <is>
          <t>VÄRMLANDS LÄN</t>
        </is>
      </c>
      <c r="G788" t="inlineStr">
        <is>
          <t>SÄFFLE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45427</v>
      </c>
      <c r="E789" s="1" t="n">
        <v>46293</v>
      </c>
      <c r="F789" t="inlineStr">
        <is>
          <t>VÄRMLANDS LÄN</t>
        </is>
      </c>
      <c r="G789" t="inlineStr">
        <is>
          <t>SÄFFLE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40518-2024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45555</v>
      </c>
      <c r="E790" s="1" t="n">
        <v>46293</v>
      </c>
      <c r="F790" t="inlineStr">
        <is>
          <t>VÄRMLANDS LÄN</t>
        </is>
      </c>
      <c r="G790" t="inlineStr">
        <is>
          <t>SÄFFLE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46293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46293</v>
      </c>
      <c r="F792" t="inlineStr">
        <is>
          <t>VÄRMLANDS LÄN</t>
        </is>
      </c>
      <c r="G792" t="inlineStr">
        <is>
          <t>SÄFFLE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46293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10350-2025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46293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55093-2022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46293</v>
      </c>
      <c r="F795" t="inlineStr">
        <is>
          <t>VÄRMLANDS LÄN</t>
        </is>
      </c>
      <c r="G795" t="inlineStr">
        <is>
          <t>SÄFFLE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46293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46293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22993-2025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46293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23371-2025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45791</v>
      </c>
      <c r="E799" s="1" t="n">
        <v>46293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45791</v>
      </c>
      <c r="E800" s="1" t="n">
        <v>46293</v>
      </c>
      <c r="F800" t="inlineStr">
        <is>
          <t>VÄRMLANDS LÄN</t>
        </is>
      </c>
      <c r="G800" t="inlineStr">
        <is>
          <t>SÄFFLE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46293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46293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46293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296-2022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36.8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46293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46293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46293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10203-2021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8638-2021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44501</v>
      </c>
      <c r="E818" s="1" t="n">
        <v>46293</v>
      </c>
      <c r="F818" t="inlineStr">
        <is>
          <t>VÄRMLANDS LÄN</t>
        </is>
      </c>
      <c r="G818" t="inlineStr">
        <is>
          <t>SÄFFLE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1402-2025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45779</v>
      </c>
      <c r="E819" s="1" t="n">
        <v>46293</v>
      </c>
      <c r="F819" t="inlineStr">
        <is>
          <t>VÄRMLANDS LÄN</t>
        </is>
      </c>
      <c r="G819" t="inlineStr">
        <is>
          <t>SÄFFLE</t>
        </is>
      </c>
      <c r="I819" t="n">
        <v>24.2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46035</v>
      </c>
      <c r="E820" s="1" t="n">
        <v>46293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46177</v>
      </c>
      <c r="E821" s="1" t="n">
        <v>46293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1933-2026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46203</v>
      </c>
      <c r="E822" s="1" t="n">
        <v>46293</v>
      </c>
      <c r="F822" t="inlineStr">
        <is>
          <t>VÄRMLANDS LÄN</t>
        </is>
      </c>
      <c r="G822" t="inlineStr">
        <is>
          <t>SÄFFLE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2026-09-28T01:58:22Z</dcterms:created>
  <dcterms:modified xmlns:dcterms="http://purl.org/dc/terms/" xmlns:xsi="http://www.w3.org/2001/XMLSchema-instance" xsi:type="dcterms:W3CDTF">2026-09-28T01:58:23Z</dcterms:modified>
</cp:coreProperties>
</file>