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46165-2024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45581</v>
      </c>
      <c r="E2" s="1" t="n">
        <v>46309</v>
      </c>
      <c r="F2" t="inlineStr">
        <is>
          <t>VÄRMLANDS LÄN</t>
        </is>
      </c>
      <c r="G2" t="inlineStr">
        <is>
          <t>SÄFFLE</t>
        </is>
      </c>
      <c r="I2" t="n">
        <v>15.2</v>
      </c>
      <c r="J2" t="n">
        <v>1</v>
      </c>
      <c r="K2" t="n">
        <v>6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n">
        <v>7</v>
      </c>
      <c r="R2" t="n">
        <v>1</v>
      </c>
      <c r="S2" t="n">
        <v>13</v>
      </c>
      <c r="T2" t="n">
        <v>18</v>
      </c>
      <c r="U2" t="n">
        <v>1</v>
      </c>
      <c r="V2" s="2" t="inlineStr">
        <is>
          <t>Garnlav
Dropptaggsvamp
Kattfotslav
Ullticka
Vedskivlav
Vedtrappmossa
Violettgrå tagellav
Bronshjon
Grön sköldmossa
Gulnål
Rostfläck
Vedticka
Västlig hakmossa</t>
        </is>
      </c>
      <c r="W2">
        <f>HYPERLINK("https://klasma.github.io/Logging_1785/artfynd/A 46165-2024 artfynd.xlsx", "A 46165-2024")</f>
        <v/>
      </c>
      <c r="X2">
        <f>HYPERLINK("https://klasma.github.io/Logging_1785/kartor/A 46165-2024 karta.png", "A 46165-2024")</f>
        <v/>
      </c>
      <c r="Y2">
        <f>HYPERLINK("https://klasma.github.io/Logging_1785/kartor_geotiff/A 46165-2024 georefererad karta.tif", "A 46165-2024")</f>
        <v/>
      </c>
      <c r="AA2">
        <f>HYPERLINK("https://klasma.github.io/Logging_1785/klagomål/A 46165-2024 FSC-klagomål.docx", "A 46165-2024")</f>
        <v/>
      </c>
      <c r="AB2">
        <f>HYPERLINK("https://klasma.github.io/Logging_1785/klagomålsmail/A 46165-2024 FSC-klagomål mail.docx", "A 46165-2024")</f>
        <v/>
      </c>
      <c r="AC2">
        <f>HYPERLINK("https://klasma.github.io/Logging_1785/tillsyn/A 46165-2024 tillsynsbegäran.docx", "A 46165-2024")</f>
        <v/>
      </c>
      <c r="AD2">
        <f>HYPERLINK("https://klasma.github.io/Logging_1785/tillsynsmail/A 46165-2024 tillsynsbegäran mail.docx", "A 46165-2024")</f>
        <v/>
      </c>
    </row>
    <row r="3" ht="15" customHeight="1">
      <c r="A3" t="inlineStr">
        <is>
          <t>A 44253-2025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45915</v>
      </c>
      <c r="E3" s="1" t="n">
        <v>46309</v>
      </c>
      <c r="F3" t="inlineStr">
        <is>
          <t>VÄRMLANDS LÄN</t>
        </is>
      </c>
      <c r="G3" t="inlineStr">
        <is>
          <t>SÄFFLE</t>
        </is>
      </c>
      <c r="H3" t="inlineStr">
        <is>
          <t>Kyrkan</t>
        </is>
      </c>
      <c r="I3" t="n">
        <v>2.3</v>
      </c>
      <c r="J3" t="n">
        <v>8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10</v>
      </c>
      <c r="T3" t="n">
        <v>10</v>
      </c>
      <c r="U3" t="n">
        <v>3</v>
      </c>
      <c r="V3" s="2" t="inlineStr">
        <is>
          <t>Luddfingersvamp
Mindre hackspett
Svinrot
Mattlummer
Kungsfågel
Huggorm
Vanlig groda
Vanlig snok
Fläcknycklar
Nattviol</t>
        </is>
      </c>
      <c r="W3">
        <f>HYPERLINK("https://klasma.github.io/Logging_1785/artfynd/A 44253-2025 artfynd.xlsx", "A 44253-2025")</f>
        <v/>
      </c>
      <c r="X3">
        <f>HYPERLINK("https://klasma.github.io/Logging_1785/kartor/A 44253-2025 karta.png", "A 44253-2025")</f>
        <v/>
      </c>
      <c r="Y3">
        <f>HYPERLINK("https://klasma.github.io/Logging_1785/kartor_geotiff/A 44253-2025 georefererad karta.tif", "A 44253-2025")</f>
        <v/>
      </c>
      <c r="AA3">
        <f>HYPERLINK("https://klasma.github.io/Logging_1785/klagomål/A 44253-2025 FSC-klagomål.docx", "A 44253-2025")</f>
        <v/>
      </c>
      <c r="AB3">
        <f>HYPERLINK("https://klasma.github.io/Logging_1785/klagomålsmail/A 44253-2025 FSC-klagomål mail.docx", "A 44253-2025")</f>
        <v/>
      </c>
      <c r="AC3">
        <f>HYPERLINK("https://klasma.github.io/Logging_1785/tillsyn/A 44253-2025 tillsynsbegäran.docx", "A 44253-2025")</f>
        <v/>
      </c>
      <c r="AD3">
        <f>HYPERLINK("https://klasma.github.io/Logging_1785/tillsynsmail/A 44253-2025 tillsynsbegäran mail.docx", "A 44253-2025")</f>
        <v/>
      </c>
      <c r="AE3">
        <f>HYPERLINK("https://klasma.github.io/Logging_1785/fåglar/A 44253-2025 prioriterade fågelarter.docx", "A 44253-2025")</f>
        <v/>
      </c>
    </row>
    <row r="4" ht="15" customHeight="1">
      <c r="A4" t="inlineStr">
        <is>
          <t>A 59469-2025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45988</v>
      </c>
      <c r="E4" s="1" t="n">
        <v>46309</v>
      </c>
      <c r="F4" t="inlineStr">
        <is>
          <t>VÄRMLANDS LÄN</t>
        </is>
      </c>
      <c r="G4" t="inlineStr">
        <is>
          <t>SÄFFLE</t>
        </is>
      </c>
      <c r="I4" t="n">
        <v>6.1</v>
      </c>
      <c r="J4" t="n">
        <v>1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5</v>
      </c>
      <c r="T4" t="n">
        <v>8</v>
      </c>
      <c r="U4" t="n">
        <v>0</v>
      </c>
      <c r="V4" s="2" t="inlineStr">
        <is>
          <t>Gullpudra
Vårärt
Springkorn
Svart trolldruva
Blåsippa</t>
        </is>
      </c>
      <c r="W4">
        <f>HYPERLINK("https://klasma.github.io/Logging_1785/artfynd/A 59469-2025 artfynd.xlsx", "A 59469-2025")</f>
        <v/>
      </c>
      <c r="X4">
        <f>HYPERLINK("https://klasma.github.io/Logging_1785/kartor/A 59469-2025 karta.png", "A 59469-2025")</f>
        <v/>
      </c>
      <c r="Y4">
        <f>HYPERLINK("https://klasma.github.io/Logging_1785/kartor_geotiff/A 59469-2025 georefererad karta.tif", "A 59469-2025")</f>
        <v/>
      </c>
      <c r="AA4">
        <f>HYPERLINK("https://klasma.github.io/Logging_1785/klagomål/A 59469-2025 FSC-klagomål.docx", "A 59469-2025")</f>
        <v/>
      </c>
      <c r="AB4">
        <f>HYPERLINK("https://klasma.github.io/Logging_1785/klagomålsmail/A 59469-2025 FSC-klagomål mail.docx", "A 59469-2025")</f>
        <v/>
      </c>
      <c r="AC4">
        <f>HYPERLINK("https://klasma.github.io/Logging_1785/tillsyn/A 59469-2025 tillsynsbegäran.docx", "A 59469-2025")</f>
        <v/>
      </c>
      <c r="AD4">
        <f>HYPERLINK("https://klasma.github.io/Logging_1785/tillsynsmail/A 59469-2025 tillsynsbegäran mail.docx", "A 59469-2025")</f>
        <v/>
      </c>
    </row>
    <row r="5" ht="15" customHeight="1">
      <c r="A5" t="inlineStr">
        <is>
          <t>A 50956-2022</t>
        </is>
      </c>
      <c r="B5" t="inlineStr">
        <is>
          <t>avverkningsanmälan</t>
        </is>
      </c>
      <c r="C5" t="inlineStr">
        <is>
          <t>Avverkning för att bevara och utveckla /försöksver</t>
        </is>
      </c>
      <c r="D5" s="1" t="n">
        <v>44867</v>
      </c>
      <c r="E5" s="1" t="n">
        <v>46309</v>
      </c>
      <c r="F5" t="inlineStr">
        <is>
          <t>VÄRMLANDS LÄN</t>
        </is>
      </c>
      <c r="G5" t="inlineStr">
        <is>
          <t>SÄFFLE</t>
        </is>
      </c>
      <c r="H5" t="inlineStr">
        <is>
          <t>Kyrkan</t>
        </is>
      </c>
      <c r="I5" t="n">
        <v>49.2</v>
      </c>
      <c r="J5" t="n">
        <v>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3</v>
      </c>
      <c r="R5" t="n">
        <v>1</v>
      </c>
      <c r="S5" t="n">
        <v>4</v>
      </c>
      <c r="T5" t="n">
        <v>7</v>
      </c>
      <c r="U5" t="n">
        <v>7</v>
      </c>
      <c r="V5" s="2" t="inlineStr">
        <is>
          <t>Klockgentiana
Svedjenäva
Svinrot
Kamjordstjärna</t>
        </is>
      </c>
      <c r="W5">
        <f>HYPERLINK("https://klasma.github.io/Logging_1785/artfynd/A 50956-2022 artfynd.xlsx", "A 50956-2022")</f>
        <v/>
      </c>
      <c r="X5">
        <f>HYPERLINK("https://klasma.github.io/Logging_1785/kartor/A 50956-2022 karta.png", "A 50956-2022")</f>
        <v/>
      </c>
      <c r="Y5">
        <f>HYPERLINK("https://klasma.github.io/Logging_1785/kartor_geotiff/A 50956-2022 georefererad karta.tif", "A 50956-2022")</f>
        <v/>
      </c>
      <c r="AA5">
        <f>HYPERLINK("https://klasma.github.io/Logging_1785/klagomål/A 50956-2022 FSC-klagomål.docx", "A 50956-2022")</f>
        <v/>
      </c>
      <c r="AB5">
        <f>HYPERLINK("https://klasma.github.io/Logging_1785/klagomålsmail/A 50956-2022 FSC-klagomål mail.docx", "A 50956-2022")</f>
        <v/>
      </c>
      <c r="AC5">
        <f>HYPERLINK("https://klasma.github.io/Logging_1785/tillsyn/A 50956-2022 tillsynsbegäran.docx", "A 50956-2022")</f>
        <v/>
      </c>
      <c r="AD5">
        <f>HYPERLINK("https://klasma.github.io/Logging_1785/tillsynsmail/A 50956-2022 tillsynsbegäran mail.docx", "A 50956-2022")</f>
        <v/>
      </c>
    </row>
    <row r="6" ht="15" customHeight="1">
      <c r="A6" t="inlineStr">
        <is>
          <t>A 11744-2025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45727</v>
      </c>
      <c r="E6" s="1" t="n">
        <v>46309</v>
      </c>
      <c r="F6" t="inlineStr">
        <is>
          <t>VÄRMLANDS LÄN</t>
        </is>
      </c>
      <c r="G6" t="inlineStr">
        <is>
          <t>SÄFFLE</t>
        </is>
      </c>
      <c r="I6" t="n">
        <v>5.8</v>
      </c>
      <c r="J6" t="n">
        <v>3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4</v>
      </c>
      <c r="T6" t="n">
        <v>4</v>
      </c>
      <c r="U6" t="n">
        <v>0</v>
      </c>
      <c r="V6" s="2" t="inlineStr">
        <is>
          <t>Gullklöver
Gulsparv
Havsörn
Sångsvan</t>
        </is>
      </c>
      <c r="W6">
        <f>HYPERLINK("https://klasma.github.io/Logging_1785/artfynd/A 11744-2025 artfynd.xlsx", "A 11744-2025")</f>
        <v/>
      </c>
      <c r="X6">
        <f>HYPERLINK("https://klasma.github.io/Logging_1785/kartor/A 11744-2025 karta.png", "A 11744-2025")</f>
        <v/>
      </c>
      <c r="Y6">
        <f>HYPERLINK("https://klasma.github.io/Logging_1785/kartor_geotiff/A 11744-2025 georefererad karta.tif", "A 11744-2025")</f>
        <v/>
      </c>
      <c r="AA6">
        <f>HYPERLINK("https://klasma.github.io/Logging_1785/klagomål/A 11744-2025 FSC-klagomål.docx", "A 11744-2025")</f>
        <v/>
      </c>
      <c r="AB6">
        <f>HYPERLINK("https://klasma.github.io/Logging_1785/klagomålsmail/A 11744-2025 FSC-klagomål mail.docx", "A 11744-2025")</f>
        <v/>
      </c>
      <c r="AC6">
        <f>HYPERLINK("https://klasma.github.io/Logging_1785/tillsyn/A 11744-2025 tillsynsbegäran.docx", "A 11744-2025")</f>
        <v/>
      </c>
      <c r="AD6">
        <f>HYPERLINK("https://klasma.github.io/Logging_1785/tillsynsmail/A 11744-2025 tillsynsbegäran mail.docx", "A 11744-2025")</f>
        <v/>
      </c>
      <c r="AE6">
        <f>HYPERLINK("https://klasma.github.io/Logging_1785/fåglar/A 11744-2025 prioriterade fågelarter.docx", "A 11744-2025")</f>
        <v/>
      </c>
    </row>
    <row r="7" ht="15" customHeight="1">
      <c r="A7" t="inlineStr">
        <is>
          <t>S 7137-2022</t>
        </is>
      </c>
      <c r="B7" t="inlineStr">
        <is>
          <t>samrådsanmälan</t>
        </is>
      </c>
      <c r="C7" t="inlineStr">
        <is>
          <t>Skogsgödsling</t>
        </is>
      </c>
      <c r="D7" s="1" t="n">
        <v>44911</v>
      </c>
      <c r="E7" s="1" t="n">
        <v>46309</v>
      </c>
      <c r="F7" t="inlineStr">
        <is>
          <t>VÄRMLANDS LÄN</t>
        </is>
      </c>
      <c r="G7" t="inlineStr">
        <is>
          <t>SÄFFLE</t>
        </is>
      </c>
      <c r="H7" t="inlineStr">
        <is>
          <t>Bergvik skog väst AB</t>
        </is>
      </c>
      <c r="I7" t="n">
        <v>23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10</v>
      </c>
      <c r="U7" t="n">
        <v>9</v>
      </c>
      <c r="V7" s="2" t="inlineStr">
        <is>
          <t>Rävticka
Orre
Fläcknycklar
Revlummer</t>
        </is>
      </c>
      <c r="W7">
        <f>HYPERLINK("https://klasma.github.io/Logging_1785/artfynd/S 7137-2022 artfynd.xlsx", "S 7137-2022")</f>
        <v/>
      </c>
      <c r="X7">
        <f>HYPERLINK("https://klasma.github.io/Logging_1785/kartor/S 7137-2022 karta.png", "S 7137-2022")</f>
        <v/>
      </c>
      <c r="Y7">
        <f>HYPERLINK("https://klasma.github.io/Logging_1785/kartor_geotiff/S 7137-2022 georefererad karta.tif", "S 7137-2022")</f>
        <v/>
      </c>
      <c r="AA7">
        <f>HYPERLINK("https://klasma.github.io/Logging_1785/klagomål/S 7137-2022 FSC-klagomål.docx", "S 7137-2022")</f>
        <v/>
      </c>
      <c r="AB7">
        <f>HYPERLINK("https://klasma.github.io/Logging_1785/klagomålsmail/S 7137-2022 FSC-klagomål mail.docx", "S 7137-2022")</f>
        <v/>
      </c>
      <c r="AC7">
        <f>HYPERLINK("https://klasma.github.io/Logging_1785/tillsyn/S 7137-2022 tillsynsbegäran.docx", "S 7137-2022")</f>
        <v/>
      </c>
      <c r="AD7">
        <f>HYPERLINK("https://klasma.github.io/Logging_1785/tillsynsmail/S 7137-2022 tillsynsbegäran mail.docx", "S 7137-2022")</f>
        <v/>
      </c>
      <c r="AE7">
        <f>HYPERLINK("https://klasma.github.io/Logging_1785/fåglar/S 7137-2022 prioriterade fågelarter.docx", "S 7137-2022")</f>
        <v/>
      </c>
    </row>
    <row r="8" ht="15" customHeight="1">
      <c r="A8" t="inlineStr">
        <is>
          <t>A 87-2022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44564</v>
      </c>
      <c r="E8" s="1" t="n">
        <v>46309</v>
      </c>
      <c r="F8" t="inlineStr">
        <is>
          <t>VÄRMLANDS LÄN</t>
        </is>
      </c>
      <c r="G8" t="inlineStr">
        <is>
          <t>SÄFFLE</t>
        </is>
      </c>
      <c r="I8" t="n">
        <v>7.3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3</v>
      </c>
      <c r="U8" t="n">
        <v>0</v>
      </c>
      <c r="V8" s="2" t="inlineStr">
        <is>
          <t>Garnlav
Bårdlav
Stuplav</t>
        </is>
      </c>
      <c r="W8">
        <f>HYPERLINK("https://klasma.github.io/Logging_1785/artfynd/A 87-2022 artfynd.xlsx", "A 87-2022")</f>
        <v/>
      </c>
      <c r="X8">
        <f>HYPERLINK("https://klasma.github.io/Logging_1785/kartor/A 87-2022 karta.png", "A 87-2022")</f>
        <v/>
      </c>
      <c r="Y8">
        <f>HYPERLINK("https://klasma.github.io/Logging_1785/kartor_geotiff/A 87-2022 georefererad karta.tif", "A 87-2022")</f>
        <v/>
      </c>
      <c r="AA8">
        <f>HYPERLINK("https://klasma.github.io/Logging_1785/klagomål/A 87-2022 FSC-klagomål.docx", "A 87-2022")</f>
        <v/>
      </c>
      <c r="AB8">
        <f>HYPERLINK("https://klasma.github.io/Logging_1785/klagomålsmail/A 87-2022 FSC-klagomål mail.docx", "A 87-2022")</f>
        <v/>
      </c>
      <c r="AC8">
        <f>HYPERLINK("https://klasma.github.io/Logging_1785/tillsyn/A 87-2022 tillsynsbegäran.docx", "A 87-2022")</f>
        <v/>
      </c>
      <c r="AD8">
        <f>HYPERLINK("https://klasma.github.io/Logging_1785/tillsynsmail/A 87-2022 tillsynsbegäran mail.docx", "A 87-2022")</f>
        <v/>
      </c>
    </row>
    <row r="9" ht="15" customHeight="1">
      <c r="A9" t="inlineStr">
        <is>
          <t>A 48855-2023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45203</v>
      </c>
      <c r="E9" s="1" t="n">
        <v>46309</v>
      </c>
      <c r="F9" t="inlineStr">
        <is>
          <t>VÄRMLANDS LÄN</t>
        </is>
      </c>
      <c r="G9" t="inlineStr">
        <is>
          <t>SÄFFLE</t>
        </is>
      </c>
      <c r="I9" t="n">
        <v>15.2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3</v>
      </c>
      <c r="T9" t="n">
        <v>3</v>
      </c>
      <c r="U9" t="n">
        <v>0</v>
      </c>
      <c r="V9" s="2" t="inlineStr">
        <is>
          <t>Gränsticka
Skarp dropptaggsvamp
Vedticka</t>
        </is>
      </c>
      <c r="W9">
        <f>HYPERLINK("https://klasma.github.io/Logging_1785/artfynd/A 48855-2023 artfynd.xlsx", "A 48855-2023")</f>
        <v/>
      </c>
      <c r="X9">
        <f>HYPERLINK("https://klasma.github.io/Logging_1785/kartor/A 48855-2023 karta.png", "A 48855-2023")</f>
        <v/>
      </c>
      <c r="Y9">
        <f>HYPERLINK("https://klasma.github.io/Logging_1785/kartor_geotiff/A 48855-2023 georefererad karta.tif", "A 48855-2023")</f>
        <v/>
      </c>
      <c r="AA9">
        <f>HYPERLINK("https://klasma.github.io/Logging_1785/klagomål/A 48855-2023 FSC-klagomål.docx", "A 48855-2023")</f>
        <v/>
      </c>
      <c r="AB9">
        <f>HYPERLINK("https://klasma.github.io/Logging_1785/klagomålsmail/A 48855-2023 FSC-klagomål mail.docx", "A 48855-2023")</f>
        <v/>
      </c>
      <c r="AC9">
        <f>HYPERLINK("https://klasma.github.io/Logging_1785/tillsyn/A 48855-2023 tillsynsbegäran.docx", "A 48855-2023")</f>
        <v/>
      </c>
      <c r="AD9">
        <f>HYPERLINK("https://klasma.github.io/Logging_1785/tillsynsmail/A 48855-2023 tillsynsbegäran mail.docx", "A 48855-2023")</f>
        <v/>
      </c>
    </row>
    <row r="10" ht="15" customHeight="1">
      <c r="A10" t="inlineStr">
        <is>
          <t>A 56489-2023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45237</v>
      </c>
      <c r="E10" s="1" t="n">
        <v>46309</v>
      </c>
      <c r="F10" t="inlineStr">
        <is>
          <t>VÄRMLANDS LÄN</t>
        </is>
      </c>
      <c r="G10" t="inlineStr">
        <is>
          <t>SÄFFLE</t>
        </is>
      </c>
      <c r="I10" t="n">
        <v>2.7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1</v>
      </c>
      <c r="V10" s="2" t="inlineStr">
        <is>
          <t>Tjäder
Havsörn</t>
        </is>
      </c>
      <c r="W10">
        <f>HYPERLINK("https://klasma.github.io/Logging_1785/artfynd/A 56489-2023 artfynd.xlsx", "A 56489-2023")</f>
        <v/>
      </c>
      <c r="X10">
        <f>HYPERLINK("https://klasma.github.io/Logging_1785/kartor/A 56489-2023 karta.png", "A 56489-2023")</f>
        <v/>
      </c>
      <c r="Y10">
        <f>HYPERLINK("https://klasma.github.io/Logging_1785/kartor_geotiff/A 56489-2023 georefererad karta.tif", "A 56489-2023")</f>
        <v/>
      </c>
      <c r="AA10">
        <f>HYPERLINK("https://klasma.github.io/Logging_1785/klagomål/A 56489-2023 FSC-klagomål.docx", "A 56489-2023")</f>
        <v/>
      </c>
      <c r="AB10">
        <f>HYPERLINK("https://klasma.github.io/Logging_1785/klagomålsmail/A 56489-2023 FSC-klagomål mail.docx", "A 56489-2023")</f>
        <v/>
      </c>
      <c r="AC10">
        <f>HYPERLINK("https://klasma.github.io/Logging_1785/tillsyn/A 56489-2023 tillsynsbegäran.docx", "A 56489-2023")</f>
        <v/>
      </c>
      <c r="AD10">
        <f>HYPERLINK("https://klasma.github.io/Logging_1785/tillsynsmail/A 56489-2023 tillsynsbegäran mail.docx", "A 56489-2023")</f>
        <v/>
      </c>
      <c r="AE10">
        <f>HYPERLINK("https://klasma.github.io/Logging_1785/fåglar/A 56489-2023 prioriterade fågelarter.docx", "A 56489-2023")</f>
        <v/>
      </c>
    </row>
    <row r="11" ht="15" customHeight="1">
      <c r="A11" t="inlineStr">
        <is>
          <t>A 42316-2025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45902</v>
      </c>
      <c r="E11" s="1" t="n">
        <v>46309</v>
      </c>
      <c r="F11" t="inlineStr">
        <is>
          <t>VÄRMLANDS LÄN</t>
        </is>
      </c>
      <c r="G11" t="inlineStr">
        <is>
          <t>SÄFFLE</t>
        </is>
      </c>
      <c r="I11" t="n">
        <v>11.8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Gullklöver
Iller</t>
        </is>
      </c>
      <c r="W11">
        <f>HYPERLINK("https://klasma.github.io/Logging_1785/artfynd/A 42316-2025 artfynd.xlsx", "A 42316-2025")</f>
        <v/>
      </c>
      <c r="X11">
        <f>HYPERLINK("https://klasma.github.io/Logging_1785/kartor/A 42316-2025 karta.png", "A 42316-2025")</f>
        <v/>
      </c>
      <c r="Y11">
        <f>HYPERLINK("https://klasma.github.io/Logging_1785/kartor_geotiff/A 42316-2025 georefererad karta.tif", "A 42316-2025")</f>
        <v/>
      </c>
      <c r="AA11">
        <f>HYPERLINK("https://klasma.github.io/Logging_1785/klagomål/A 42316-2025 FSC-klagomål.docx", "A 42316-2025")</f>
        <v/>
      </c>
      <c r="AB11">
        <f>HYPERLINK("https://klasma.github.io/Logging_1785/klagomålsmail/A 42316-2025 FSC-klagomål mail.docx", "A 42316-2025")</f>
        <v/>
      </c>
      <c r="AC11">
        <f>HYPERLINK("https://klasma.github.io/Logging_1785/tillsyn/A 42316-2025 tillsynsbegäran.docx", "A 42316-2025")</f>
        <v/>
      </c>
      <c r="AD11">
        <f>HYPERLINK("https://klasma.github.io/Logging_1785/tillsynsmail/A 42316-2025 tillsynsbegäran mail.docx", "A 42316-2025")</f>
        <v/>
      </c>
    </row>
    <row r="12" ht="15" customHeight="1">
      <c r="A12" t="inlineStr">
        <is>
          <t>A 1401-2024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45303</v>
      </c>
      <c r="E12" s="1" t="n">
        <v>46309</v>
      </c>
      <c r="F12" t="inlineStr">
        <is>
          <t>VÄRMLANDS LÄN</t>
        </is>
      </c>
      <c r="G12" t="inlineStr">
        <is>
          <t>SÄFFLE</t>
        </is>
      </c>
      <c r="I12" t="n">
        <v>8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2</v>
      </c>
      <c r="U12" t="n">
        <v>0</v>
      </c>
      <c r="V12" s="2" t="inlineStr">
        <is>
          <t>Gullpudra
Vätteros</t>
        </is>
      </c>
      <c r="W12">
        <f>HYPERLINK("https://klasma.github.io/Logging_1785/artfynd/A 1401-2024 artfynd.xlsx", "A 1401-2024")</f>
        <v/>
      </c>
      <c r="X12">
        <f>HYPERLINK("https://klasma.github.io/Logging_1785/kartor/A 1401-2024 karta.png", "A 1401-2024")</f>
        <v/>
      </c>
      <c r="Y12">
        <f>HYPERLINK("https://klasma.github.io/Logging_1785/kartor_geotiff/A 1401-2024 georefererad karta.tif", "A 1401-2024")</f>
        <v/>
      </c>
      <c r="AA12">
        <f>HYPERLINK("https://klasma.github.io/Logging_1785/klagomål/A 1401-2024 FSC-klagomål.docx", "A 1401-2024")</f>
        <v/>
      </c>
      <c r="AB12">
        <f>HYPERLINK("https://klasma.github.io/Logging_1785/klagomålsmail/A 1401-2024 FSC-klagomål mail.docx", "A 1401-2024")</f>
        <v/>
      </c>
      <c r="AC12">
        <f>HYPERLINK("https://klasma.github.io/Logging_1785/tillsyn/A 1401-2024 tillsynsbegäran.docx", "A 1401-2024")</f>
        <v/>
      </c>
      <c r="AD12">
        <f>HYPERLINK("https://klasma.github.io/Logging_1785/tillsynsmail/A 1401-2024 tillsynsbegäran mail.docx", "A 1401-2024")</f>
        <v/>
      </c>
    </row>
    <row r="13" ht="15" customHeight="1">
      <c r="A13" t="inlineStr">
        <is>
          <t>A 16766-2022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44673</v>
      </c>
      <c r="E13" s="1" t="n">
        <v>46309</v>
      </c>
      <c r="F13" t="inlineStr">
        <is>
          <t>VÄRMLANDS LÄN</t>
        </is>
      </c>
      <c r="G13" t="inlineStr">
        <is>
          <t>SÄFFLE</t>
        </is>
      </c>
      <c r="H13" t="inlineStr">
        <is>
          <t>Kyrkan</t>
        </is>
      </c>
      <c r="I13" t="n">
        <v>5.5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3</v>
      </c>
      <c r="U13" t="n">
        <v>1</v>
      </c>
      <c r="V13" s="2" t="inlineStr">
        <is>
          <t>Slåttergubbe
Korallrot</t>
        </is>
      </c>
      <c r="W13">
        <f>HYPERLINK("https://klasma.github.io/Logging_1785/artfynd/A 16766-2022 artfynd.xlsx", "A 16766-2022")</f>
        <v/>
      </c>
      <c r="X13">
        <f>HYPERLINK("https://klasma.github.io/Logging_1785/kartor/A 16766-2022 karta.png", "A 16766-2022")</f>
        <v/>
      </c>
      <c r="Y13">
        <f>HYPERLINK("https://klasma.github.io/Logging_1785/kartor_geotiff/A 16766-2022 georefererad karta.tif", "A 16766-2022")</f>
        <v/>
      </c>
      <c r="AA13">
        <f>HYPERLINK("https://klasma.github.io/Logging_1785/klagomål/A 16766-2022 FSC-klagomål.docx", "A 16766-2022")</f>
        <v/>
      </c>
      <c r="AB13">
        <f>HYPERLINK("https://klasma.github.io/Logging_1785/klagomålsmail/A 16766-2022 FSC-klagomål mail.docx", "A 16766-2022")</f>
        <v/>
      </c>
      <c r="AC13">
        <f>HYPERLINK("https://klasma.github.io/Logging_1785/tillsyn/A 16766-2022 tillsynsbegäran.docx", "A 16766-2022")</f>
        <v/>
      </c>
      <c r="AD13">
        <f>HYPERLINK("https://klasma.github.io/Logging_1785/tillsynsmail/A 16766-2022 tillsynsbegäran mail.docx", "A 16766-2022")</f>
        <v/>
      </c>
    </row>
    <row r="14" ht="15" customHeight="1">
      <c r="A14" t="inlineStr">
        <is>
          <t>A 1036-2025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45665</v>
      </c>
      <c r="E14" s="1" t="n">
        <v>46309</v>
      </c>
      <c r="F14" t="inlineStr">
        <is>
          <t>VÄRMLANDS LÄN</t>
        </is>
      </c>
      <c r="G14" t="inlineStr">
        <is>
          <t>SÄFFLE</t>
        </is>
      </c>
      <c r="I14" t="n">
        <v>10.4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Vedskivlav
Vedticka</t>
        </is>
      </c>
      <c r="W14">
        <f>HYPERLINK("https://klasma.github.io/Logging_1785/artfynd/A 1036-2025 artfynd.xlsx", "A 1036-2025")</f>
        <v/>
      </c>
      <c r="X14">
        <f>HYPERLINK("https://klasma.github.io/Logging_1785/kartor/A 1036-2025 karta.png", "A 1036-2025")</f>
        <v/>
      </c>
      <c r="Y14">
        <f>HYPERLINK("https://klasma.github.io/Logging_1785/kartor_geotiff/A 1036-2025 georefererad karta.tif", "A 1036-2025")</f>
        <v/>
      </c>
      <c r="AA14">
        <f>HYPERLINK("https://klasma.github.io/Logging_1785/klagomål/A 1036-2025 FSC-klagomål.docx", "A 1036-2025")</f>
        <v/>
      </c>
      <c r="AB14">
        <f>HYPERLINK("https://klasma.github.io/Logging_1785/klagomålsmail/A 1036-2025 FSC-klagomål mail.docx", "A 1036-2025")</f>
        <v/>
      </c>
      <c r="AC14">
        <f>HYPERLINK("https://klasma.github.io/Logging_1785/tillsyn/A 1036-2025 tillsynsbegäran.docx", "A 1036-2025")</f>
        <v/>
      </c>
      <c r="AD14">
        <f>HYPERLINK("https://klasma.github.io/Logging_1785/tillsynsmail/A 1036-2025 tillsynsbegäran mail.docx", "A 1036-2025")</f>
        <v/>
      </c>
    </row>
    <row r="15" ht="15" customHeight="1">
      <c r="A15" t="inlineStr">
        <is>
          <t>A 12294-2024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45378</v>
      </c>
      <c r="E15" s="1" t="n">
        <v>46309</v>
      </c>
      <c r="F15" t="inlineStr">
        <is>
          <t>VÄRMLANDS LÄN</t>
        </is>
      </c>
      <c r="G15" t="inlineStr">
        <is>
          <t>SÄFFLE</t>
        </is>
      </c>
      <c r="I15" t="n">
        <v>4.5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2</v>
      </c>
      <c r="T15" t="n">
        <v>2</v>
      </c>
      <c r="U15" t="n">
        <v>0</v>
      </c>
      <c r="V15" s="2" t="inlineStr">
        <is>
          <t>Mindre bastardsvärmare
Skogsklocka</t>
        </is>
      </c>
      <c r="W15">
        <f>HYPERLINK("https://klasma.github.io/Logging_1785/artfynd/A 12294-2024 artfynd.xlsx", "A 12294-2024")</f>
        <v/>
      </c>
      <c r="X15">
        <f>HYPERLINK("https://klasma.github.io/Logging_1785/kartor/A 12294-2024 karta.png", "A 12294-2024")</f>
        <v/>
      </c>
      <c r="Y15">
        <f>HYPERLINK("https://klasma.github.io/Logging_1785/kartor_geotiff/A 12294-2024 georefererad karta.tif", "A 12294-2024")</f>
        <v/>
      </c>
      <c r="AA15">
        <f>HYPERLINK("https://klasma.github.io/Logging_1785/klagomål/A 12294-2024 FSC-klagomål.docx", "A 12294-2024")</f>
        <v/>
      </c>
      <c r="AB15">
        <f>HYPERLINK("https://klasma.github.io/Logging_1785/klagomålsmail/A 12294-2024 FSC-klagomål mail.docx", "A 12294-2024")</f>
        <v/>
      </c>
      <c r="AC15">
        <f>HYPERLINK("https://klasma.github.io/Logging_1785/tillsyn/A 12294-2024 tillsynsbegäran.docx", "A 12294-2024")</f>
        <v/>
      </c>
      <c r="AD15">
        <f>HYPERLINK("https://klasma.github.io/Logging_1785/tillsynsmail/A 12294-2024 tillsynsbegäran mail.docx", "A 12294-2024")</f>
        <v/>
      </c>
    </row>
    <row r="16" ht="15" customHeight="1">
      <c r="A16" t="inlineStr">
        <is>
          <t>A 31395-2026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46220</v>
      </c>
      <c r="E16" s="1" t="n">
        <v>46309</v>
      </c>
      <c r="F16" t="inlineStr">
        <is>
          <t>VÄRMLANDS LÄN</t>
        </is>
      </c>
      <c r="G16" t="inlineStr">
        <is>
          <t>SÄFFLE</t>
        </is>
      </c>
      <c r="I16" t="n">
        <v>3.8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Skogsklocka
Fläcknycklar</t>
        </is>
      </c>
      <c r="W16">
        <f>HYPERLINK("https://klasma.github.io/Logging_1785/artfynd/A 31395-2026 artfynd.xlsx", "A 31395-2026")</f>
        <v/>
      </c>
      <c r="X16">
        <f>HYPERLINK("https://klasma.github.io/Logging_1785/kartor/A 31395-2026 karta.png", "A 31395-2026")</f>
        <v/>
      </c>
      <c r="Y16">
        <f>HYPERLINK("https://klasma.github.io/Logging_1785/kartor_geotiff/A 31395-2026 georefererad karta.tif", "A 31395-2026")</f>
        <v/>
      </c>
      <c r="AA16">
        <f>HYPERLINK("https://klasma.github.io/Logging_1785/klagomål/A 31395-2026 FSC-klagomål.docx", "A 31395-2026")</f>
        <v/>
      </c>
      <c r="AB16">
        <f>HYPERLINK("https://klasma.github.io/Logging_1785/klagomålsmail/A 31395-2026 FSC-klagomål mail.docx", "A 31395-2026")</f>
        <v/>
      </c>
      <c r="AC16">
        <f>HYPERLINK("https://klasma.github.io/Logging_1785/tillsyn/A 31395-2026 tillsynsbegäran.docx", "A 31395-2026")</f>
        <v/>
      </c>
      <c r="AD16">
        <f>HYPERLINK("https://klasma.github.io/Logging_1785/tillsynsmail/A 31395-2026 tillsynsbegäran mail.docx", "A 31395-2026")</f>
        <v/>
      </c>
    </row>
    <row r="17" ht="15" customHeight="1">
      <c r="A17" t="inlineStr">
        <is>
          <t>A 24697-2024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45460</v>
      </c>
      <c r="E17" s="1" t="n">
        <v>46309</v>
      </c>
      <c r="F17" t="inlineStr">
        <is>
          <t>VÄRMLANDS LÄN</t>
        </is>
      </c>
      <c r="G17" t="inlineStr">
        <is>
          <t>SÄFFLE</t>
        </is>
      </c>
      <c r="I17" t="n">
        <v>16.9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s="2" t="inlineStr">
        <is>
          <t>Dropptaggsvamp
Blåmossa</t>
        </is>
      </c>
      <c r="W17">
        <f>HYPERLINK("https://klasma.github.io/Logging_1785/artfynd/A 24697-2024 artfynd.xlsx", "A 24697-2024")</f>
        <v/>
      </c>
      <c r="X17">
        <f>HYPERLINK("https://klasma.github.io/Logging_1785/kartor/A 24697-2024 karta.png", "A 24697-2024")</f>
        <v/>
      </c>
      <c r="Y17">
        <f>HYPERLINK("https://klasma.github.io/Logging_1785/kartor_geotiff/A 24697-2024 georefererad karta.tif", "A 24697-2024")</f>
        <v/>
      </c>
      <c r="AA17">
        <f>HYPERLINK("https://klasma.github.io/Logging_1785/klagomål/A 24697-2024 FSC-klagomål.docx", "A 24697-2024")</f>
        <v/>
      </c>
      <c r="AB17">
        <f>HYPERLINK("https://klasma.github.io/Logging_1785/klagomålsmail/A 24697-2024 FSC-klagomål mail.docx", "A 24697-2024")</f>
        <v/>
      </c>
      <c r="AC17">
        <f>HYPERLINK("https://klasma.github.io/Logging_1785/tillsyn/A 24697-2024 tillsynsbegäran.docx", "A 24697-2024")</f>
        <v/>
      </c>
      <c r="AD17">
        <f>HYPERLINK("https://klasma.github.io/Logging_1785/tillsynsmail/A 24697-2024 tillsynsbegäran mail.docx", "A 24697-2024")</f>
        <v/>
      </c>
    </row>
    <row r="18" ht="15" customHeight="1">
      <c r="A18" t="inlineStr">
        <is>
          <t>A 33249-2022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44787</v>
      </c>
      <c r="E18" s="1" t="n">
        <v>46309</v>
      </c>
      <c r="F18" t="inlineStr">
        <is>
          <t>VÄRMLANDS LÄN</t>
        </is>
      </c>
      <c r="G18" t="inlineStr">
        <is>
          <t>SÄFFLE</t>
        </is>
      </c>
      <c r="I18" t="n">
        <v>0.5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Vätteros</t>
        </is>
      </c>
      <c r="W18">
        <f>HYPERLINK("https://klasma.github.io/Logging_1785/artfynd/A 33249-2022 artfynd.xlsx", "A 33249-2022")</f>
        <v/>
      </c>
      <c r="X18">
        <f>HYPERLINK("https://klasma.github.io/Logging_1785/kartor/A 33249-2022 karta.png", "A 33249-2022")</f>
        <v/>
      </c>
      <c r="Y18">
        <f>HYPERLINK("https://klasma.github.io/Logging_1785/kartor_geotiff/A 33249-2022 georefererad karta.tif", "A 33249-2022")</f>
        <v/>
      </c>
      <c r="AA18">
        <f>HYPERLINK("https://klasma.github.io/Logging_1785/klagomål/A 33249-2022 FSC-klagomål.docx", "A 33249-2022")</f>
        <v/>
      </c>
      <c r="AB18">
        <f>HYPERLINK("https://klasma.github.io/Logging_1785/klagomålsmail/A 33249-2022 FSC-klagomål mail.docx", "A 33249-2022")</f>
        <v/>
      </c>
      <c r="AC18">
        <f>HYPERLINK("https://klasma.github.io/Logging_1785/tillsyn/A 33249-2022 tillsynsbegäran.docx", "A 33249-2022")</f>
        <v/>
      </c>
      <c r="AD18">
        <f>HYPERLINK("https://klasma.github.io/Logging_1785/tillsynsmail/A 33249-2022 tillsynsbegäran mail.docx", "A 33249-2022")</f>
        <v/>
      </c>
    </row>
    <row r="19" ht="15" customHeight="1">
      <c r="A19" t="inlineStr">
        <is>
          <t>A 63111-2021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44505</v>
      </c>
      <c r="E19" s="1" t="n">
        <v>46309</v>
      </c>
      <c r="F19" t="inlineStr">
        <is>
          <t>VÄRMLANDS LÄN</t>
        </is>
      </c>
      <c r="G19" t="inlineStr">
        <is>
          <t>SÄFFLE</t>
        </is>
      </c>
      <c r="I19" t="n">
        <v>1.8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Mindre bastardsvärmare</t>
        </is>
      </c>
      <c r="W19">
        <f>HYPERLINK("https://klasma.github.io/Logging_1785/artfynd/A 63111-2021 artfynd.xlsx", "A 63111-2021")</f>
        <v/>
      </c>
      <c r="X19">
        <f>HYPERLINK("https://klasma.github.io/Logging_1785/kartor/A 63111-2021 karta.png", "A 63111-2021")</f>
        <v/>
      </c>
      <c r="Y19">
        <f>HYPERLINK("https://klasma.github.io/Logging_1785/kartor_geotiff/A 63111-2021 georefererad karta.tif", "A 63111-2021")</f>
        <v/>
      </c>
      <c r="AA19">
        <f>HYPERLINK("https://klasma.github.io/Logging_1785/klagomål/A 63111-2021 FSC-klagomål.docx", "A 63111-2021")</f>
        <v/>
      </c>
      <c r="AB19">
        <f>HYPERLINK("https://klasma.github.io/Logging_1785/klagomålsmail/A 63111-2021 FSC-klagomål mail.docx", "A 63111-2021")</f>
        <v/>
      </c>
      <c r="AC19">
        <f>HYPERLINK("https://klasma.github.io/Logging_1785/tillsyn/A 63111-2021 tillsynsbegäran.docx", "A 63111-2021")</f>
        <v/>
      </c>
      <c r="AD19">
        <f>HYPERLINK("https://klasma.github.io/Logging_1785/tillsynsmail/A 63111-2021 tillsynsbegäran mail.docx", "A 63111-2021")</f>
        <v/>
      </c>
    </row>
    <row r="20" ht="15" customHeight="1">
      <c r="A20" t="inlineStr">
        <is>
          <t>A 60965-2024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45644</v>
      </c>
      <c r="E20" s="1" t="n">
        <v>46309</v>
      </c>
      <c r="F20" t="inlineStr">
        <is>
          <t>VÄRMLANDS LÄN</t>
        </is>
      </c>
      <c r="G20" t="inlineStr">
        <is>
          <t>SÄFFLE</t>
        </is>
      </c>
      <c r="I20" t="n">
        <v>2.9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Skogsklocka</t>
        </is>
      </c>
      <c r="W20">
        <f>HYPERLINK("https://klasma.github.io/Logging_1785/artfynd/A 60965-2024 artfynd.xlsx", "A 60965-2024")</f>
        <v/>
      </c>
      <c r="X20">
        <f>HYPERLINK("https://klasma.github.io/Logging_1785/kartor/A 60965-2024 karta.png", "A 60965-2024")</f>
        <v/>
      </c>
      <c r="Y20">
        <f>HYPERLINK("https://klasma.github.io/Logging_1785/kartor_geotiff/A 60965-2024 georefererad karta.tif", "A 60965-2024")</f>
        <v/>
      </c>
      <c r="AA20">
        <f>HYPERLINK("https://klasma.github.io/Logging_1785/klagomål/A 60965-2024 FSC-klagomål.docx", "A 60965-2024")</f>
        <v/>
      </c>
      <c r="AB20">
        <f>HYPERLINK("https://klasma.github.io/Logging_1785/klagomålsmail/A 60965-2024 FSC-klagomål mail.docx", "A 60965-2024")</f>
        <v/>
      </c>
      <c r="AC20">
        <f>HYPERLINK("https://klasma.github.io/Logging_1785/tillsyn/A 60965-2024 tillsynsbegäran.docx", "A 60965-2024")</f>
        <v/>
      </c>
      <c r="AD20">
        <f>HYPERLINK("https://klasma.github.io/Logging_1785/tillsynsmail/A 60965-2024 tillsynsbegäran mail.docx", "A 60965-2024")</f>
        <v/>
      </c>
    </row>
    <row r="21" ht="15" customHeight="1">
      <c r="A21" t="inlineStr">
        <is>
          <t>A 31657-2023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45106</v>
      </c>
      <c r="E21" s="1" t="n">
        <v>46309</v>
      </c>
      <c r="F21" t="inlineStr">
        <is>
          <t>VÄRMLANDS LÄN</t>
        </is>
      </c>
      <c r="G21" t="inlineStr">
        <is>
          <t>SÄFFLE</t>
        </is>
      </c>
      <c r="I21" t="n">
        <v>2.7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s="2" t="inlineStr">
        <is>
          <t>Vanlig groda</t>
        </is>
      </c>
      <c r="W21">
        <f>HYPERLINK("https://klasma.github.io/Logging_1785/artfynd/A 31657-2023 artfynd.xlsx", "A 31657-2023")</f>
        <v/>
      </c>
      <c r="X21">
        <f>HYPERLINK("https://klasma.github.io/Logging_1785/kartor/A 31657-2023 karta.png", "A 31657-2023")</f>
        <v/>
      </c>
      <c r="Y21">
        <f>HYPERLINK("https://klasma.github.io/Logging_1785/kartor_geotiff/A 31657-2023 georefererad karta.tif", "A 31657-2023")</f>
        <v/>
      </c>
      <c r="AA21">
        <f>HYPERLINK("https://klasma.github.io/Logging_1785/klagomål/A 31657-2023 FSC-klagomål.docx", "A 31657-2023")</f>
        <v/>
      </c>
      <c r="AB21">
        <f>HYPERLINK("https://klasma.github.io/Logging_1785/klagomålsmail/A 31657-2023 FSC-klagomål mail.docx", "A 31657-2023")</f>
        <v/>
      </c>
      <c r="AC21">
        <f>HYPERLINK("https://klasma.github.io/Logging_1785/tillsyn/A 31657-2023 tillsynsbegäran.docx", "A 31657-2023")</f>
        <v/>
      </c>
      <c r="AD21">
        <f>HYPERLINK("https://klasma.github.io/Logging_1785/tillsynsmail/A 31657-2023 tillsynsbegäran mail.docx", "A 31657-2023")</f>
        <v/>
      </c>
    </row>
    <row r="22" ht="15" customHeight="1">
      <c r="A22" t="inlineStr">
        <is>
          <t>A 14738-2024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45397</v>
      </c>
      <c r="E22" s="1" t="n">
        <v>46309</v>
      </c>
      <c r="F22" t="inlineStr">
        <is>
          <t>VÄRMLANDS LÄN</t>
        </is>
      </c>
      <c r="G22" t="inlineStr">
        <is>
          <t>SÄFFLE</t>
        </is>
      </c>
      <c r="I22" t="n">
        <v>3.7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Kortskaftad ärgspik</t>
        </is>
      </c>
      <c r="W22">
        <f>HYPERLINK("https://klasma.github.io/Logging_1785/artfynd/A 14738-2024 artfynd.xlsx", "A 14738-2024")</f>
        <v/>
      </c>
      <c r="X22">
        <f>HYPERLINK("https://klasma.github.io/Logging_1785/kartor/A 14738-2024 karta.png", "A 14738-2024")</f>
        <v/>
      </c>
      <c r="Y22">
        <f>HYPERLINK("https://klasma.github.io/Logging_1785/kartor_geotiff/A 14738-2024 georefererad karta.tif", "A 14738-2024")</f>
        <v/>
      </c>
      <c r="AA22">
        <f>HYPERLINK("https://klasma.github.io/Logging_1785/klagomål/A 14738-2024 FSC-klagomål.docx", "A 14738-2024")</f>
        <v/>
      </c>
      <c r="AB22">
        <f>HYPERLINK("https://klasma.github.io/Logging_1785/klagomålsmail/A 14738-2024 FSC-klagomål mail.docx", "A 14738-2024")</f>
        <v/>
      </c>
      <c r="AC22">
        <f>HYPERLINK("https://klasma.github.io/Logging_1785/tillsyn/A 14738-2024 tillsynsbegäran.docx", "A 14738-2024")</f>
        <v/>
      </c>
      <c r="AD22">
        <f>HYPERLINK("https://klasma.github.io/Logging_1785/tillsynsmail/A 14738-2024 tillsynsbegäran mail.docx", "A 14738-2024")</f>
        <v/>
      </c>
    </row>
    <row r="23" ht="15" customHeight="1">
      <c r="A23" t="inlineStr">
        <is>
          <t>A 4134-2024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45323</v>
      </c>
      <c r="E23" s="1" t="n">
        <v>46309</v>
      </c>
      <c r="F23" t="inlineStr">
        <is>
          <t>VÄRMLANDS LÄN</t>
        </is>
      </c>
      <c r="G23" t="inlineStr">
        <is>
          <t>SÄFFLE</t>
        </is>
      </c>
      <c r="I23" t="n">
        <v>4.1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Ryl</t>
        </is>
      </c>
      <c r="W23">
        <f>HYPERLINK("https://klasma.github.io/Logging_1785/artfynd/A 4134-2024 artfynd.xlsx", "A 4134-2024")</f>
        <v/>
      </c>
      <c r="X23">
        <f>HYPERLINK("https://klasma.github.io/Logging_1785/kartor/A 4134-2024 karta.png", "A 4134-2024")</f>
        <v/>
      </c>
      <c r="Y23">
        <f>HYPERLINK("https://klasma.github.io/Logging_1785/kartor_geotiff/A 4134-2024 georefererad karta.tif", "A 4134-2024")</f>
        <v/>
      </c>
      <c r="AA23">
        <f>HYPERLINK("https://klasma.github.io/Logging_1785/klagomål/A 4134-2024 FSC-klagomål.docx", "A 4134-2024")</f>
        <v/>
      </c>
      <c r="AB23">
        <f>HYPERLINK("https://klasma.github.io/Logging_1785/klagomålsmail/A 4134-2024 FSC-klagomål mail.docx", "A 4134-2024")</f>
        <v/>
      </c>
      <c r="AC23">
        <f>HYPERLINK("https://klasma.github.io/Logging_1785/tillsyn/A 4134-2024 tillsynsbegäran.docx", "A 4134-2024")</f>
        <v/>
      </c>
      <c r="AD23">
        <f>HYPERLINK("https://klasma.github.io/Logging_1785/tillsynsmail/A 4134-2024 tillsynsbegäran mail.docx", "A 4134-2024")</f>
        <v/>
      </c>
    </row>
    <row r="24" ht="15" customHeight="1">
      <c r="A24" t="inlineStr">
        <is>
          <t>A 2740-2023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44943</v>
      </c>
      <c r="E24" s="1" t="n">
        <v>46309</v>
      </c>
      <c r="F24" t="inlineStr">
        <is>
          <t>VÄRMLANDS LÄN</t>
        </is>
      </c>
      <c r="G24" t="inlineStr">
        <is>
          <t>SÄFFLE</t>
        </is>
      </c>
      <c r="I24" t="n">
        <v>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Fläcknycklar</t>
        </is>
      </c>
      <c r="W24">
        <f>HYPERLINK("https://klasma.github.io/Logging_1785/artfynd/A 2740-2023 artfynd.xlsx", "A 2740-2023")</f>
        <v/>
      </c>
      <c r="X24">
        <f>HYPERLINK("https://klasma.github.io/Logging_1785/kartor/A 2740-2023 karta.png", "A 2740-2023")</f>
        <v/>
      </c>
      <c r="Y24">
        <f>HYPERLINK("https://klasma.github.io/Logging_1785/kartor_geotiff/A 2740-2023 georefererad karta.tif", "A 2740-2023")</f>
        <v/>
      </c>
      <c r="AA24">
        <f>HYPERLINK("https://klasma.github.io/Logging_1785/klagomål/A 2740-2023 FSC-klagomål.docx", "A 2740-2023")</f>
        <v/>
      </c>
      <c r="AB24">
        <f>HYPERLINK("https://klasma.github.io/Logging_1785/klagomålsmail/A 2740-2023 FSC-klagomål mail.docx", "A 2740-2023")</f>
        <v/>
      </c>
      <c r="AC24">
        <f>HYPERLINK("https://klasma.github.io/Logging_1785/tillsyn/A 2740-2023 tillsynsbegäran.docx", "A 2740-2023")</f>
        <v/>
      </c>
      <c r="AD24">
        <f>HYPERLINK("https://klasma.github.io/Logging_1785/tillsynsmail/A 2740-2023 tillsynsbegäran mail.docx", "A 2740-2023")</f>
        <v/>
      </c>
    </row>
    <row r="25" ht="15" customHeight="1">
      <c r="A25" t="inlineStr">
        <is>
          <t>A 61612-2024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45646</v>
      </c>
      <c r="E25" s="1" t="n">
        <v>46309</v>
      </c>
      <c r="F25" t="inlineStr">
        <is>
          <t>VÄRMLANDS LÄN</t>
        </is>
      </c>
      <c r="G25" t="inlineStr">
        <is>
          <t>SÄFFLE</t>
        </is>
      </c>
      <c r="I25" t="n">
        <v>2.9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Jungfrulin</t>
        </is>
      </c>
      <c r="W25">
        <f>HYPERLINK("https://klasma.github.io/Logging_1785/artfynd/A 61612-2024 artfynd.xlsx", "A 61612-2024")</f>
        <v/>
      </c>
      <c r="X25">
        <f>HYPERLINK("https://klasma.github.io/Logging_1785/kartor/A 61612-2024 karta.png", "A 61612-2024")</f>
        <v/>
      </c>
      <c r="Y25">
        <f>HYPERLINK("https://klasma.github.io/Logging_1785/kartor_geotiff/A 61612-2024 georefererad karta.tif", "A 61612-2024")</f>
        <v/>
      </c>
      <c r="AA25">
        <f>HYPERLINK("https://klasma.github.io/Logging_1785/klagomål/A 61612-2024 FSC-klagomål.docx", "A 61612-2024")</f>
        <v/>
      </c>
      <c r="AB25">
        <f>HYPERLINK("https://klasma.github.io/Logging_1785/klagomålsmail/A 61612-2024 FSC-klagomål mail.docx", "A 61612-2024")</f>
        <v/>
      </c>
      <c r="AC25">
        <f>HYPERLINK("https://klasma.github.io/Logging_1785/tillsyn/A 61612-2024 tillsynsbegäran.docx", "A 61612-2024")</f>
        <v/>
      </c>
      <c r="AD25">
        <f>HYPERLINK("https://klasma.github.io/Logging_1785/tillsynsmail/A 61612-2024 tillsynsbegäran mail.docx", "A 61612-2024")</f>
        <v/>
      </c>
    </row>
    <row r="26" ht="15" customHeight="1">
      <c r="A26" t="inlineStr">
        <is>
          <t>A 43852-2025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45912</v>
      </c>
      <c r="E26" s="1" t="n">
        <v>46309</v>
      </c>
      <c r="F26" t="inlineStr">
        <is>
          <t>VÄRMLANDS LÄN</t>
        </is>
      </c>
      <c r="G26" t="inlineStr">
        <is>
          <t>SÄFFLE</t>
        </is>
      </c>
      <c r="I26" t="n">
        <v>1.2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Springkorn</t>
        </is>
      </c>
      <c r="W26">
        <f>HYPERLINK("https://klasma.github.io/Logging_1785/artfynd/A 43852-2025 artfynd.xlsx", "A 43852-2025")</f>
        <v/>
      </c>
      <c r="X26">
        <f>HYPERLINK("https://klasma.github.io/Logging_1785/kartor/A 43852-2025 karta.png", "A 43852-2025")</f>
        <v/>
      </c>
      <c r="Y26">
        <f>HYPERLINK("https://klasma.github.io/Logging_1785/kartor_geotiff/A 43852-2025 georefererad karta.tif", "A 43852-2025")</f>
        <v/>
      </c>
      <c r="AA26">
        <f>HYPERLINK("https://klasma.github.io/Logging_1785/klagomål/A 43852-2025 FSC-klagomål.docx", "A 43852-2025")</f>
        <v/>
      </c>
      <c r="AB26">
        <f>HYPERLINK("https://klasma.github.io/Logging_1785/klagomålsmail/A 43852-2025 FSC-klagomål mail.docx", "A 43852-2025")</f>
        <v/>
      </c>
      <c r="AC26">
        <f>HYPERLINK("https://klasma.github.io/Logging_1785/tillsyn/A 43852-2025 tillsynsbegäran.docx", "A 43852-2025")</f>
        <v/>
      </c>
      <c r="AD26">
        <f>HYPERLINK("https://klasma.github.io/Logging_1785/tillsynsmail/A 43852-2025 tillsynsbegäran mail.docx", "A 43852-2025")</f>
        <v/>
      </c>
    </row>
    <row r="27" ht="15" customHeight="1">
      <c r="A27" t="inlineStr">
        <is>
          <t>A 2342-2025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45673</v>
      </c>
      <c r="E27" s="1" t="n">
        <v>46309</v>
      </c>
      <c r="F27" t="inlineStr">
        <is>
          <t>VÄRMLANDS LÄN</t>
        </is>
      </c>
      <c r="G27" t="inlineStr">
        <is>
          <t>SÄFFLE</t>
        </is>
      </c>
      <c r="I27" t="n">
        <v>1.2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Ask</t>
        </is>
      </c>
      <c r="W27">
        <f>HYPERLINK("https://klasma.github.io/Logging_1785/artfynd/A 2342-2025 artfynd.xlsx", "A 2342-2025")</f>
        <v/>
      </c>
      <c r="X27">
        <f>HYPERLINK("https://klasma.github.io/Logging_1785/kartor/A 2342-2025 karta.png", "A 2342-2025")</f>
        <v/>
      </c>
      <c r="Y27">
        <f>HYPERLINK("https://klasma.github.io/Logging_1785/kartor_geotiff/A 2342-2025 georefererad karta.tif", "A 2342-2025")</f>
        <v/>
      </c>
      <c r="AA27">
        <f>HYPERLINK("https://klasma.github.io/Logging_1785/klagomål/A 2342-2025 FSC-klagomål.docx", "A 2342-2025")</f>
        <v/>
      </c>
      <c r="AB27">
        <f>HYPERLINK("https://klasma.github.io/Logging_1785/klagomålsmail/A 2342-2025 FSC-klagomål mail.docx", "A 2342-2025")</f>
        <v/>
      </c>
      <c r="AC27">
        <f>HYPERLINK("https://klasma.github.io/Logging_1785/tillsyn/A 2342-2025 tillsynsbegäran.docx", "A 2342-2025")</f>
        <v/>
      </c>
      <c r="AD27">
        <f>HYPERLINK("https://klasma.github.io/Logging_1785/tillsynsmail/A 2342-2025 tillsynsbegäran mail.docx", "A 2342-2025")</f>
        <v/>
      </c>
    </row>
    <row r="28" ht="15" customHeight="1">
      <c r="A28" t="inlineStr">
        <is>
          <t>A 19694-2024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45432</v>
      </c>
      <c r="E28" s="1" t="n">
        <v>46309</v>
      </c>
      <c r="F28" t="inlineStr">
        <is>
          <t>VÄRMLANDS LÄN</t>
        </is>
      </c>
      <c r="G28" t="inlineStr">
        <is>
          <t>SÄFFLE</t>
        </is>
      </c>
      <c r="I28" t="n">
        <v>0.7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Fläcknycklar</t>
        </is>
      </c>
      <c r="W28">
        <f>HYPERLINK("https://klasma.github.io/Logging_1785/artfynd/A 19694-2024 artfynd.xlsx", "A 19694-2024")</f>
        <v/>
      </c>
      <c r="X28">
        <f>HYPERLINK("https://klasma.github.io/Logging_1785/kartor/A 19694-2024 karta.png", "A 19694-2024")</f>
        <v/>
      </c>
      <c r="Y28">
        <f>HYPERLINK("https://klasma.github.io/Logging_1785/kartor_geotiff/A 19694-2024 georefererad karta.tif", "A 19694-2024")</f>
        <v/>
      </c>
      <c r="AA28">
        <f>HYPERLINK("https://klasma.github.io/Logging_1785/klagomål/A 19694-2024 FSC-klagomål.docx", "A 19694-2024")</f>
        <v/>
      </c>
      <c r="AB28">
        <f>HYPERLINK("https://klasma.github.io/Logging_1785/klagomålsmail/A 19694-2024 FSC-klagomål mail.docx", "A 19694-2024")</f>
        <v/>
      </c>
      <c r="AC28">
        <f>HYPERLINK("https://klasma.github.io/Logging_1785/tillsyn/A 19694-2024 tillsynsbegäran.docx", "A 19694-2024")</f>
        <v/>
      </c>
      <c r="AD28">
        <f>HYPERLINK("https://klasma.github.io/Logging_1785/tillsynsmail/A 19694-2024 tillsynsbegäran mail.docx", "A 19694-2024")</f>
        <v/>
      </c>
    </row>
    <row r="29" ht="15" customHeight="1">
      <c r="A29" t="inlineStr">
        <is>
          <t>A 11933-2025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45728</v>
      </c>
      <c r="E29" s="1" t="n">
        <v>46309</v>
      </c>
      <c r="F29" t="inlineStr">
        <is>
          <t>VÄRMLANDS LÄN</t>
        </is>
      </c>
      <c r="G29" t="inlineStr">
        <is>
          <t>SÄFFLE</t>
        </is>
      </c>
      <c r="I29" t="n">
        <v>1.9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6</v>
      </c>
      <c r="U29" t="n">
        <v>0</v>
      </c>
      <c r="V29" s="2" t="inlineStr">
        <is>
          <t>Skogsklocka</t>
        </is>
      </c>
      <c r="W29">
        <f>HYPERLINK("https://klasma.github.io/Logging_1785/artfynd/A 11933-2025 artfynd.xlsx", "A 11933-2025")</f>
        <v/>
      </c>
      <c r="X29">
        <f>HYPERLINK("https://klasma.github.io/Logging_1785/kartor/A 11933-2025 karta.png", "A 11933-2025")</f>
        <v/>
      </c>
      <c r="Y29">
        <f>HYPERLINK("https://klasma.github.io/Logging_1785/kartor_geotiff/A 11933-2025 georefererad karta.tif", "A 11933-2025")</f>
        <v/>
      </c>
      <c r="AA29">
        <f>HYPERLINK("https://klasma.github.io/Logging_1785/klagomål/A 11933-2025 FSC-klagomål.docx", "A 11933-2025")</f>
        <v/>
      </c>
      <c r="AB29">
        <f>HYPERLINK("https://klasma.github.io/Logging_1785/klagomålsmail/A 11933-2025 FSC-klagomål mail.docx", "A 11933-2025")</f>
        <v/>
      </c>
      <c r="AC29">
        <f>HYPERLINK("https://klasma.github.io/Logging_1785/tillsyn/A 11933-2025 tillsynsbegäran.docx", "A 11933-2025")</f>
        <v/>
      </c>
      <c r="AD29">
        <f>HYPERLINK("https://klasma.github.io/Logging_1785/tillsynsmail/A 11933-2025 tillsynsbegäran mail.docx", "A 11933-2025")</f>
        <v/>
      </c>
    </row>
    <row r="30" ht="15" customHeight="1">
      <c r="A30" t="inlineStr">
        <is>
          <t>A 31226-2025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45832</v>
      </c>
      <c r="E30" s="1" t="n">
        <v>46309</v>
      </c>
      <c r="F30" t="inlineStr">
        <is>
          <t>VÄRMLANDS LÄN</t>
        </is>
      </c>
      <c r="G30" t="inlineStr">
        <is>
          <t>SÄFFLE</t>
        </is>
      </c>
      <c r="I30" t="n">
        <v>4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s="2" t="inlineStr">
        <is>
          <t>Gränsticka</t>
        </is>
      </c>
      <c r="W30">
        <f>HYPERLINK("https://klasma.github.io/Logging_1785/artfynd/A 31226-2025 artfynd.xlsx", "A 31226-2025")</f>
        <v/>
      </c>
      <c r="X30">
        <f>HYPERLINK("https://klasma.github.io/Logging_1785/kartor/A 31226-2025 karta.png", "A 31226-2025")</f>
        <v/>
      </c>
      <c r="Y30">
        <f>HYPERLINK("https://klasma.github.io/Logging_1785/kartor_geotiff/A 31226-2025 georefererad karta.tif", "A 31226-2025")</f>
        <v/>
      </c>
      <c r="AA30">
        <f>HYPERLINK("https://klasma.github.io/Logging_1785/klagomål/A 31226-2025 FSC-klagomål.docx", "A 31226-2025")</f>
        <v/>
      </c>
      <c r="AB30">
        <f>HYPERLINK("https://klasma.github.io/Logging_1785/klagomålsmail/A 31226-2025 FSC-klagomål mail.docx", "A 31226-2025")</f>
        <v/>
      </c>
      <c r="AC30">
        <f>HYPERLINK("https://klasma.github.io/Logging_1785/tillsyn/A 31226-2025 tillsynsbegäran.docx", "A 31226-2025")</f>
        <v/>
      </c>
      <c r="AD30">
        <f>HYPERLINK("https://klasma.github.io/Logging_1785/tillsynsmail/A 31226-2025 tillsynsbegäran mail.docx", "A 31226-2025")</f>
        <v/>
      </c>
    </row>
    <row r="31" ht="15" customHeight="1">
      <c r="A31" t="inlineStr">
        <is>
          <t>A 59289-2025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45988</v>
      </c>
      <c r="E31" s="1" t="n">
        <v>46309</v>
      </c>
      <c r="F31" t="inlineStr">
        <is>
          <t>VÄRMLANDS LÄN</t>
        </is>
      </c>
      <c r="G31" t="inlineStr">
        <is>
          <t>SÄFFLE</t>
        </is>
      </c>
      <c r="I31" t="n">
        <v>0.8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Tibast</t>
        </is>
      </c>
      <c r="W31">
        <f>HYPERLINK("https://klasma.github.io/Logging_1785/artfynd/A 59289-2025 artfynd.xlsx", "A 59289-2025")</f>
        <v/>
      </c>
      <c r="X31">
        <f>HYPERLINK("https://klasma.github.io/Logging_1785/kartor/A 59289-2025 karta.png", "A 59289-2025")</f>
        <v/>
      </c>
      <c r="Y31">
        <f>HYPERLINK("https://klasma.github.io/Logging_1785/kartor_geotiff/A 59289-2025 georefererad karta.tif", "A 59289-2025")</f>
        <v/>
      </c>
      <c r="AA31">
        <f>HYPERLINK("https://klasma.github.io/Logging_1785/klagomål/A 59289-2025 FSC-klagomål.docx", "A 59289-2025")</f>
        <v/>
      </c>
      <c r="AB31">
        <f>HYPERLINK("https://klasma.github.io/Logging_1785/klagomålsmail/A 59289-2025 FSC-klagomål mail.docx", "A 59289-2025")</f>
        <v/>
      </c>
      <c r="AC31">
        <f>HYPERLINK("https://klasma.github.io/Logging_1785/tillsyn/A 59289-2025 tillsynsbegäran.docx", "A 59289-2025")</f>
        <v/>
      </c>
      <c r="AD31">
        <f>HYPERLINK("https://klasma.github.io/Logging_1785/tillsynsmail/A 59289-2025 tillsynsbegäran mail.docx", "A 59289-2025")</f>
        <v/>
      </c>
    </row>
    <row r="32" ht="15" customHeight="1">
      <c r="A32" t="inlineStr">
        <is>
          <t>A 18622-2025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45763</v>
      </c>
      <c r="E32" s="1" t="n">
        <v>46309</v>
      </c>
      <c r="F32" t="inlineStr">
        <is>
          <t>VÄRMLANDS LÄN</t>
        </is>
      </c>
      <c r="G32" t="inlineStr">
        <is>
          <t>SÄFFLE</t>
        </is>
      </c>
      <c r="I32" t="n">
        <v>2.5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Äkta lopplummer</t>
        </is>
      </c>
      <c r="W32">
        <f>HYPERLINK("https://klasma.github.io/Logging_1785/artfynd/A 18622-2025 artfynd.xlsx", "A 18622-2025")</f>
        <v/>
      </c>
      <c r="X32">
        <f>HYPERLINK("https://klasma.github.io/Logging_1785/kartor/A 18622-2025 karta.png", "A 18622-2025")</f>
        <v/>
      </c>
      <c r="Y32">
        <f>HYPERLINK("https://klasma.github.io/Logging_1785/kartor_geotiff/A 18622-2025 georefererad karta.tif", "A 18622-2025")</f>
        <v/>
      </c>
      <c r="AA32">
        <f>HYPERLINK("https://klasma.github.io/Logging_1785/klagomål/A 18622-2025 FSC-klagomål.docx", "A 18622-2025")</f>
        <v/>
      </c>
      <c r="AB32">
        <f>HYPERLINK("https://klasma.github.io/Logging_1785/klagomålsmail/A 18622-2025 FSC-klagomål mail.docx", "A 18622-2025")</f>
        <v/>
      </c>
      <c r="AC32">
        <f>HYPERLINK("https://klasma.github.io/Logging_1785/tillsyn/A 18622-2025 tillsynsbegäran.docx", "A 18622-2025")</f>
        <v/>
      </c>
      <c r="AD32">
        <f>HYPERLINK("https://klasma.github.io/Logging_1785/tillsynsmail/A 18622-2025 tillsynsbegäran mail.docx", "A 18622-2025")</f>
        <v/>
      </c>
    </row>
    <row r="33" ht="15" customHeight="1">
      <c r="A33" t="inlineStr">
        <is>
          <t>A 48883-2023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45203</v>
      </c>
      <c r="E33" s="1" t="n">
        <v>46309</v>
      </c>
      <c r="F33" t="inlineStr">
        <is>
          <t>VÄRMLANDS LÄN</t>
        </is>
      </c>
      <c r="G33" t="inlineStr">
        <is>
          <t>SÄFFLE</t>
        </is>
      </c>
      <c r="I33" t="n">
        <v>12.1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Talltita</t>
        </is>
      </c>
      <c r="W33">
        <f>HYPERLINK("https://klasma.github.io/Logging_1785/artfynd/A 48883-2023 artfynd.xlsx", "A 48883-2023")</f>
        <v/>
      </c>
      <c r="X33">
        <f>HYPERLINK("https://klasma.github.io/Logging_1785/kartor/A 48883-2023 karta.png", "A 48883-2023")</f>
        <v/>
      </c>
      <c r="Y33">
        <f>HYPERLINK("https://klasma.github.io/Logging_1785/kartor_geotiff/A 48883-2023 georefererad karta.tif", "A 48883-2023")</f>
        <v/>
      </c>
      <c r="AA33">
        <f>HYPERLINK("https://klasma.github.io/Logging_1785/klagomål/A 48883-2023 FSC-klagomål.docx", "A 48883-2023")</f>
        <v/>
      </c>
      <c r="AB33">
        <f>HYPERLINK("https://klasma.github.io/Logging_1785/klagomålsmail/A 48883-2023 FSC-klagomål mail.docx", "A 48883-2023")</f>
        <v/>
      </c>
      <c r="AC33">
        <f>HYPERLINK("https://klasma.github.io/Logging_1785/tillsyn/A 48883-2023 tillsynsbegäran.docx", "A 48883-2023")</f>
        <v/>
      </c>
      <c r="AD33">
        <f>HYPERLINK("https://klasma.github.io/Logging_1785/tillsynsmail/A 48883-2023 tillsynsbegäran mail.docx", "A 48883-2023")</f>
        <v/>
      </c>
      <c r="AE33">
        <f>HYPERLINK("https://klasma.github.io/Logging_1785/fåglar/A 48883-2023 prioriterade fågelarter.docx", "A 48883-2023")</f>
        <v/>
      </c>
    </row>
    <row r="34" ht="15" customHeight="1">
      <c r="A34" t="inlineStr">
        <is>
          <t>A 33538-2025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45841</v>
      </c>
      <c r="E34" s="1" t="n">
        <v>46309</v>
      </c>
      <c r="F34" t="inlineStr">
        <is>
          <t>VÄRMLANDS LÄN</t>
        </is>
      </c>
      <c r="G34" t="inlineStr">
        <is>
          <t>SÄFFLE</t>
        </is>
      </c>
      <c r="I34" t="n">
        <v>4.8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Vätteros</t>
        </is>
      </c>
      <c r="W34">
        <f>HYPERLINK("https://klasma.github.io/Logging_1785/artfynd/A 33538-2025 artfynd.xlsx", "A 33538-2025")</f>
        <v/>
      </c>
      <c r="X34">
        <f>HYPERLINK("https://klasma.github.io/Logging_1785/kartor/A 33538-2025 karta.png", "A 33538-2025")</f>
        <v/>
      </c>
      <c r="Y34">
        <f>HYPERLINK("https://klasma.github.io/Logging_1785/kartor_geotiff/A 33538-2025 georefererad karta.tif", "A 33538-2025")</f>
        <v/>
      </c>
      <c r="AA34">
        <f>HYPERLINK("https://klasma.github.io/Logging_1785/klagomål/A 33538-2025 FSC-klagomål.docx", "A 33538-2025")</f>
        <v/>
      </c>
      <c r="AB34">
        <f>HYPERLINK("https://klasma.github.io/Logging_1785/klagomålsmail/A 33538-2025 FSC-klagomål mail.docx", "A 33538-2025")</f>
        <v/>
      </c>
      <c r="AC34">
        <f>HYPERLINK("https://klasma.github.io/Logging_1785/tillsyn/A 33538-2025 tillsynsbegäran.docx", "A 33538-2025")</f>
        <v/>
      </c>
      <c r="AD34">
        <f>HYPERLINK("https://klasma.github.io/Logging_1785/tillsynsmail/A 33538-2025 tillsynsbegäran mail.docx", "A 33538-2025")</f>
        <v/>
      </c>
    </row>
    <row r="35" ht="15" customHeight="1">
      <c r="A35" t="inlineStr">
        <is>
          <t>A 4394-2022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44589</v>
      </c>
      <c r="E35" s="1" t="n">
        <v>46309</v>
      </c>
      <c r="F35" t="inlineStr">
        <is>
          <t>VÄRMLANDS LÄN</t>
        </is>
      </c>
      <c r="G35" t="inlineStr">
        <is>
          <t>SÄFFLE</t>
        </is>
      </c>
      <c r="I35" t="n">
        <v>2.2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Vätteros</t>
        </is>
      </c>
      <c r="W35">
        <f>HYPERLINK("https://klasma.github.io/Logging_1785/artfynd/A 4394-2022 artfynd.xlsx", "A 4394-2022")</f>
        <v/>
      </c>
      <c r="X35">
        <f>HYPERLINK("https://klasma.github.io/Logging_1785/kartor/A 4394-2022 karta.png", "A 4394-2022")</f>
        <v/>
      </c>
      <c r="Y35">
        <f>HYPERLINK("https://klasma.github.io/Logging_1785/kartor_geotiff/A 4394-2022 georefererad karta.tif", "A 4394-2022")</f>
        <v/>
      </c>
      <c r="AA35">
        <f>HYPERLINK("https://klasma.github.io/Logging_1785/klagomål/A 4394-2022 FSC-klagomål.docx", "A 4394-2022")</f>
        <v/>
      </c>
      <c r="AB35">
        <f>HYPERLINK("https://klasma.github.io/Logging_1785/klagomålsmail/A 4394-2022 FSC-klagomål mail.docx", "A 4394-2022")</f>
        <v/>
      </c>
      <c r="AC35">
        <f>HYPERLINK("https://klasma.github.io/Logging_1785/tillsyn/A 4394-2022 tillsynsbegäran.docx", "A 4394-2022")</f>
        <v/>
      </c>
      <c r="AD35">
        <f>HYPERLINK("https://klasma.github.io/Logging_1785/tillsynsmail/A 4394-2022 tillsynsbegäran mail.docx", "A 4394-2022")</f>
        <v/>
      </c>
    </row>
    <row r="36" ht="15" customHeight="1">
      <c r="A36" t="inlineStr">
        <is>
          <t>A 38621-2023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45162</v>
      </c>
      <c r="E36" s="1" t="n">
        <v>46309</v>
      </c>
      <c r="F36" t="inlineStr">
        <is>
          <t>VÄRMLANDS LÄN</t>
        </is>
      </c>
      <c r="G36" t="inlineStr">
        <is>
          <t>SÄFFLE</t>
        </is>
      </c>
      <c r="I36" t="n">
        <v>2.5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Åkerkulla</t>
        </is>
      </c>
      <c r="W36">
        <f>HYPERLINK("https://klasma.github.io/Logging_1785/artfynd/A 38621-2023 artfynd.xlsx", "A 38621-2023")</f>
        <v/>
      </c>
      <c r="X36">
        <f>HYPERLINK("https://klasma.github.io/Logging_1785/kartor/A 38621-2023 karta.png", "A 38621-2023")</f>
        <v/>
      </c>
      <c r="Y36">
        <f>HYPERLINK("https://klasma.github.io/Logging_1785/kartor_geotiff/A 38621-2023 georefererad karta.tif", "A 38621-2023")</f>
        <v/>
      </c>
      <c r="AA36">
        <f>HYPERLINK("https://klasma.github.io/Logging_1785/klagomål/A 38621-2023 FSC-klagomål.docx", "A 38621-2023")</f>
        <v/>
      </c>
      <c r="AB36">
        <f>HYPERLINK("https://klasma.github.io/Logging_1785/klagomålsmail/A 38621-2023 FSC-klagomål mail.docx", "A 38621-2023")</f>
        <v/>
      </c>
      <c r="AC36">
        <f>HYPERLINK("https://klasma.github.io/Logging_1785/tillsyn/A 38621-2023 tillsynsbegäran.docx", "A 38621-2023")</f>
        <v/>
      </c>
      <c r="AD36">
        <f>HYPERLINK("https://klasma.github.io/Logging_1785/tillsynsmail/A 38621-2023 tillsynsbegäran mail.docx", "A 38621-2023")</f>
        <v/>
      </c>
    </row>
    <row r="37" ht="15" customHeight="1">
      <c r="A37" t="inlineStr">
        <is>
          <t>A 1717-2023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44936</v>
      </c>
      <c r="E37" s="1" t="n">
        <v>46309</v>
      </c>
      <c r="F37" t="inlineStr">
        <is>
          <t>VÄRMLANDS LÄN</t>
        </is>
      </c>
      <c r="G37" t="inlineStr">
        <is>
          <t>SÄFFLE</t>
        </is>
      </c>
      <c r="I37" t="n">
        <v>0.7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Fläcknycklar</t>
        </is>
      </c>
      <c r="W37">
        <f>HYPERLINK("https://klasma.github.io/Logging_1785/artfynd/A 1717-2023 artfynd.xlsx", "A 1717-2023")</f>
        <v/>
      </c>
      <c r="X37">
        <f>HYPERLINK("https://klasma.github.io/Logging_1785/kartor/A 1717-2023 karta.png", "A 1717-2023")</f>
        <v/>
      </c>
      <c r="Y37">
        <f>HYPERLINK("https://klasma.github.io/Logging_1785/kartor_geotiff/A 1717-2023 georefererad karta.tif", "A 1717-2023")</f>
        <v/>
      </c>
      <c r="AA37">
        <f>HYPERLINK("https://klasma.github.io/Logging_1785/klagomål/A 1717-2023 FSC-klagomål.docx", "A 1717-2023")</f>
        <v/>
      </c>
      <c r="AB37">
        <f>HYPERLINK("https://klasma.github.io/Logging_1785/klagomålsmail/A 1717-2023 FSC-klagomål mail.docx", "A 1717-2023")</f>
        <v/>
      </c>
      <c r="AC37">
        <f>HYPERLINK("https://klasma.github.io/Logging_1785/tillsyn/A 1717-2023 tillsynsbegäran.docx", "A 1717-2023")</f>
        <v/>
      </c>
      <c r="AD37">
        <f>HYPERLINK("https://klasma.github.io/Logging_1785/tillsynsmail/A 1717-2023 tillsynsbegäran mail.docx", "A 1717-2023")</f>
        <v/>
      </c>
    </row>
    <row r="38" ht="15" customHeight="1">
      <c r="A38" t="inlineStr">
        <is>
          <t>A 14428-2023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45012</v>
      </c>
      <c r="E38" s="1" t="n">
        <v>46309</v>
      </c>
      <c r="F38" t="inlineStr">
        <is>
          <t>VÄRMLANDS LÄN</t>
        </is>
      </c>
      <c r="G38" t="inlineStr">
        <is>
          <t>SÄFFLE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2</v>
      </c>
      <c r="U38" t="n">
        <v>0</v>
      </c>
      <c r="V38" s="2" t="inlineStr">
        <is>
          <t>Ask</t>
        </is>
      </c>
      <c r="W38">
        <f>HYPERLINK("https://klasma.github.io/Logging_1785/artfynd/A 14428-2023 artfynd.xlsx", "A 14428-2023")</f>
        <v/>
      </c>
      <c r="X38">
        <f>HYPERLINK("https://klasma.github.io/Logging_1785/kartor/A 14428-2023 karta.png", "A 14428-2023")</f>
        <v/>
      </c>
      <c r="Y38">
        <f>HYPERLINK("https://klasma.github.io/Logging_1785/kartor_geotiff/A 14428-2023 georefererad karta.tif", "A 14428-2023")</f>
        <v/>
      </c>
      <c r="AA38">
        <f>HYPERLINK("https://klasma.github.io/Logging_1785/klagomål/A 14428-2023 FSC-klagomål.docx", "A 14428-2023")</f>
        <v/>
      </c>
      <c r="AB38">
        <f>HYPERLINK("https://klasma.github.io/Logging_1785/klagomålsmail/A 14428-2023 FSC-klagomål mail.docx", "A 14428-2023")</f>
        <v/>
      </c>
      <c r="AC38">
        <f>HYPERLINK("https://klasma.github.io/Logging_1785/tillsyn/A 14428-2023 tillsynsbegäran.docx", "A 14428-2023")</f>
        <v/>
      </c>
      <c r="AD38">
        <f>HYPERLINK("https://klasma.github.io/Logging_1785/tillsynsmail/A 14428-2023 tillsynsbegäran mail.docx", "A 14428-2023")</f>
        <v/>
      </c>
    </row>
    <row r="39" ht="15" customHeight="1">
      <c r="A39" t="inlineStr">
        <is>
          <t>A 37943-2026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46280</v>
      </c>
      <c r="E39" s="1" t="n">
        <v>46309</v>
      </c>
      <c r="F39" t="inlineStr">
        <is>
          <t>VÄRMLANDS LÄN</t>
        </is>
      </c>
      <c r="G39" t="inlineStr">
        <is>
          <t>SÄFFLE</t>
        </is>
      </c>
      <c r="I39" t="n">
        <v>1.6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Rönnfibbla</t>
        </is>
      </c>
      <c r="W39">
        <f>HYPERLINK("https://klasma.github.io/Logging_1785/artfynd/A 37943-2026 artfynd.xlsx", "A 37943-2026")</f>
        <v/>
      </c>
      <c r="X39">
        <f>HYPERLINK("https://klasma.github.io/Logging_1785/kartor/A 37943-2026 karta.png", "A 37943-2026")</f>
        <v/>
      </c>
      <c r="Y39">
        <f>HYPERLINK("https://klasma.github.io/Logging_1785/kartor_geotiff/A 37943-2026 georefererad karta.tif", "A 37943-2026")</f>
        <v/>
      </c>
      <c r="AA39">
        <f>HYPERLINK("https://klasma.github.io/Logging_1785/klagomål/A 37943-2026 FSC-klagomål.docx", "A 37943-2026")</f>
        <v/>
      </c>
      <c r="AB39">
        <f>HYPERLINK("https://klasma.github.io/Logging_1785/klagomålsmail/A 37943-2026 FSC-klagomål mail.docx", "A 37943-2026")</f>
        <v/>
      </c>
      <c r="AC39">
        <f>HYPERLINK("https://klasma.github.io/Logging_1785/tillsyn/A 37943-2026 tillsynsbegäran.docx", "A 37943-2026")</f>
        <v/>
      </c>
      <c r="AD39">
        <f>HYPERLINK("https://klasma.github.io/Logging_1785/tillsynsmail/A 37943-2026 tillsynsbegäran mail.docx", "A 37943-2026")</f>
        <v/>
      </c>
    </row>
    <row r="40" ht="15" customHeight="1">
      <c r="A40" t="inlineStr">
        <is>
          <t>A 12740-2024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45384</v>
      </c>
      <c r="E40" s="1" t="n">
        <v>46309</v>
      </c>
      <c r="F40" t="inlineStr">
        <is>
          <t>VÄRMLANDS LÄN</t>
        </is>
      </c>
      <c r="G40" t="inlineStr">
        <is>
          <t>SÄFFLE</t>
        </is>
      </c>
      <c r="I40" t="n">
        <v>3.7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Gullklöver</t>
        </is>
      </c>
      <c r="W40">
        <f>HYPERLINK("https://klasma.github.io/Logging_1785/artfynd/A 12740-2024 artfynd.xlsx", "A 12740-2024")</f>
        <v/>
      </c>
      <c r="X40">
        <f>HYPERLINK("https://klasma.github.io/Logging_1785/kartor/A 12740-2024 karta.png", "A 12740-2024")</f>
        <v/>
      </c>
      <c r="Y40">
        <f>HYPERLINK("https://klasma.github.io/Logging_1785/kartor_geotiff/A 12740-2024 georefererad karta.tif", "A 12740-2024")</f>
        <v/>
      </c>
      <c r="AA40">
        <f>HYPERLINK("https://klasma.github.io/Logging_1785/klagomål/A 12740-2024 FSC-klagomål.docx", "A 12740-2024")</f>
        <v/>
      </c>
      <c r="AB40">
        <f>HYPERLINK("https://klasma.github.io/Logging_1785/klagomålsmail/A 12740-2024 FSC-klagomål mail.docx", "A 12740-2024")</f>
        <v/>
      </c>
      <c r="AC40">
        <f>HYPERLINK("https://klasma.github.io/Logging_1785/tillsyn/A 12740-2024 tillsynsbegäran.docx", "A 12740-2024")</f>
        <v/>
      </c>
      <c r="AD40">
        <f>HYPERLINK("https://klasma.github.io/Logging_1785/tillsynsmail/A 12740-2024 tillsynsbegäran mail.docx", "A 12740-2024")</f>
        <v/>
      </c>
    </row>
    <row r="41" ht="15" customHeight="1">
      <c r="A41" t="inlineStr">
        <is>
          <t>A 60931-2024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45644</v>
      </c>
      <c r="E41" s="1" t="n">
        <v>46309</v>
      </c>
      <c r="F41" t="inlineStr">
        <is>
          <t>VÄRMLANDS LÄN</t>
        </is>
      </c>
      <c r="G41" t="inlineStr">
        <is>
          <t>SÄFFLE</t>
        </is>
      </c>
      <c r="I41" t="n">
        <v>3.1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Fläcknycklar</t>
        </is>
      </c>
      <c r="W41">
        <f>HYPERLINK("https://klasma.github.io/Logging_1785/artfynd/A 60931-2024 artfynd.xlsx", "A 60931-2024")</f>
        <v/>
      </c>
      <c r="X41">
        <f>HYPERLINK("https://klasma.github.io/Logging_1785/kartor/A 60931-2024 karta.png", "A 60931-2024")</f>
        <v/>
      </c>
      <c r="Y41">
        <f>HYPERLINK("https://klasma.github.io/Logging_1785/kartor_geotiff/A 60931-2024 georefererad karta.tif", "A 60931-2024")</f>
        <v/>
      </c>
      <c r="AA41">
        <f>HYPERLINK("https://klasma.github.io/Logging_1785/klagomål/A 60931-2024 FSC-klagomål.docx", "A 60931-2024")</f>
        <v/>
      </c>
      <c r="AB41">
        <f>HYPERLINK("https://klasma.github.io/Logging_1785/klagomålsmail/A 60931-2024 FSC-klagomål mail.docx", "A 60931-2024")</f>
        <v/>
      </c>
      <c r="AC41">
        <f>HYPERLINK("https://klasma.github.io/Logging_1785/tillsyn/A 60931-2024 tillsynsbegäran.docx", "A 60931-2024")</f>
        <v/>
      </c>
      <c r="AD41">
        <f>HYPERLINK("https://klasma.github.io/Logging_1785/tillsynsmail/A 60931-2024 tillsynsbegäran mail.docx", "A 60931-2024")</f>
        <v/>
      </c>
    </row>
    <row r="42" ht="15" customHeight="1">
      <c r="A42" t="inlineStr">
        <is>
          <t>A 36273-2024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45534</v>
      </c>
      <c r="E42" s="1" t="n">
        <v>46309</v>
      </c>
      <c r="F42" t="inlineStr">
        <is>
          <t>VÄRMLANDS LÄN</t>
        </is>
      </c>
      <c r="G42" t="inlineStr">
        <is>
          <t>SÄFFLE</t>
        </is>
      </c>
      <c r="I42" t="n">
        <v>4.8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Vätteros</t>
        </is>
      </c>
      <c r="W42">
        <f>HYPERLINK("https://klasma.github.io/Logging_1785/artfynd/A 36273-2024 artfynd.xlsx", "A 36273-2024")</f>
        <v/>
      </c>
      <c r="X42">
        <f>HYPERLINK("https://klasma.github.io/Logging_1785/kartor/A 36273-2024 karta.png", "A 36273-2024")</f>
        <v/>
      </c>
      <c r="Y42">
        <f>HYPERLINK("https://klasma.github.io/Logging_1785/kartor_geotiff/A 36273-2024 georefererad karta.tif", "A 36273-2024")</f>
        <v/>
      </c>
      <c r="AA42">
        <f>HYPERLINK("https://klasma.github.io/Logging_1785/klagomål/A 36273-2024 FSC-klagomål.docx", "A 36273-2024")</f>
        <v/>
      </c>
      <c r="AB42">
        <f>HYPERLINK("https://klasma.github.io/Logging_1785/klagomålsmail/A 36273-2024 FSC-klagomål mail.docx", "A 36273-2024")</f>
        <v/>
      </c>
      <c r="AC42">
        <f>HYPERLINK("https://klasma.github.io/Logging_1785/tillsyn/A 36273-2024 tillsynsbegäran.docx", "A 36273-2024")</f>
        <v/>
      </c>
      <c r="AD42">
        <f>HYPERLINK("https://klasma.github.io/Logging_1785/tillsynsmail/A 36273-2024 tillsynsbegäran mail.docx", "A 36273-2024")</f>
        <v/>
      </c>
    </row>
    <row r="43" ht="15" customHeight="1">
      <c r="A43" t="inlineStr">
        <is>
          <t>A 42132-2026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46304</v>
      </c>
      <c r="E43" s="1" t="n">
        <v>46309</v>
      </c>
      <c r="F43" t="inlineStr">
        <is>
          <t>VÄRMLANDS LÄN</t>
        </is>
      </c>
      <c r="G43" t="inlineStr">
        <is>
          <t>SÄFFLE</t>
        </is>
      </c>
      <c r="I43" t="n">
        <v>3.8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s="2" t="inlineStr">
        <is>
          <t>Ask</t>
        </is>
      </c>
      <c r="W43">
        <f>HYPERLINK("https://klasma.github.io/Logging_1785/artfynd/A 42132-2026 artfynd.xlsx", "A 42132-2026")</f>
        <v/>
      </c>
      <c r="X43">
        <f>HYPERLINK("https://klasma.github.io/Logging_1785/kartor/A 42132-2026 karta.png", "A 42132-2026")</f>
        <v/>
      </c>
      <c r="Y43">
        <f>HYPERLINK("https://klasma.github.io/Logging_1785/kartor_geotiff/A 42132-2026 georefererad karta.tif", "A 42132-2026")</f>
        <v/>
      </c>
      <c r="AA43">
        <f>HYPERLINK("https://klasma.github.io/Logging_1785/klagomål/A 42132-2026 FSC-klagomål.docx", "A 42132-2026")</f>
        <v/>
      </c>
      <c r="AB43">
        <f>HYPERLINK("https://klasma.github.io/Logging_1785/klagomålsmail/A 42132-2026 FSC-klagomål mail.docx", "A 42132-2026")</f>
        <v/>
      </c>
      <c r="AC43">
        <f>HYPERLINK("https://klasma.github.io/Logging_1785/tillsyn/A 42132-2026 tillsynsbegäran.docx", "A 42132-2026")</f>
        <v/>
      </c>
      <c r="AD43">
        <f>HYPERLINK("https://klasma.github.io/Logging_1785/tillsynsmail/A 42132-2026 tillsynsbegäran mail.docx", "A 42132-2026")</f>
        <v/>
      </c>
    </row>
    <row r="44" ht="15" customHeight="1">
      <c r="A44" t="inlineStr">
        <is>
          <t>S 1722-2020</t>
        </is>
      </c>
      <c r="B44" t="inlineStr">
        <is>
          <t>samrådsanmälan</t>
        </is>
      </c>
      <c r="C44" t="inlineStr">
        <is>
          <t>Åtgärd i nyckelbiotop</t>
        </is>
      </c>
      <c r="D44" s="1" t="n">
        <v>44046</v>
      </c>
      <c r="E44" s="1" t="n">
        <v>46309</v>
      </c>
      <c r="F44" t="inlineStr">
        <is>
          <t>VÄRMLANDS LÄN</t>
        </is>
      </c>
      <c r="G44" t="inlineStr">
        <is>
          <t>SÄFFLE</t>
        </is>
      </c>
      <c r="I44" t="n">
        <v>1.3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Gullpudra</t>
        </is>
      </c>
      <c r="W44">
        <f>HYPERLINK("https://klasma.github.io/Logging_1785/artfynd/S 1722-2020 artfynd.xlsx", "S 1722-2020")</f>
        <v/>
      </c>
      <c r="X44">
        <f>HYPERLINK("https://klasma.github.io/Logging_1785/kartor/S 1722-2020 karta.png", "S 1722-2020")</f>
        <v/>
      </c>
      <c r="Y44">
        <f>HYPERLINK("https://klasma.github.io/Logging_1785/kartor_geotiff/S 1722-2020 georefererad karta.tif", "S 1722-2020")</f>
        <v/>
      </c>
      <c r="AA44">
        <f>HYPERLINK("https://klasma.github.io/Logging_1785/klagomål/S 1722-2020 FSC-klagomål.docx", "S 1722-2020")</f>
        <v/>
      </c>
      <c r="AB44">
        <f>HYPERLINK("https://klasma.github.io/Logging_1785/klagomålsmail/S 1722-2020 FSC-klagomål mail.docx", "S 1722-2020")</f>
        <v/>
      </c>
      <c r="AC44">
        <f>HYPERLINK("https://klasma.github.io/Logging_1785/tillsyn/S 1722-2020 tillsynsbegäran.docx", "S 1722-2020")</f>
        <v/>
      </c>
      <c r="AD44">
        <f>HYPERLINK("https://klasma.github.io/Logging_1785/tillsynsmail/S 1722-2020 tillsynsbegäran mail.docx", "S 1722-2020")</f>
        <v/>
      </c>
    </row>
    <row r="45" ht="15" customHeight="1">
      <c r="A45" t="inlineStr">
        <is>
          <t>S 155-2023</t>
        </is>
      </c>
      <c r="B45" t="inlineStr">
        <is>
          <t>samrådsanmälan</t>
        </is>
      </c>
      <c r="C45" t="inlineStr">
        <is>
          <t>Askåterföring</t>
        </is>
      </c>
      <c r="D45" s="1" t="n">
        <v>44943</v>
      </c>
      <c r="E45" s="1" t="n">
        <v>46309</v>
      </c>
      <c r="F45" t="inlineStr">
        <is>
          <t>VÄRMLANDS LÄN</t>
        </is>
      </c>
      <c r="G45" t="inlineStr">
        <is>
          <t>SÄFFLE</t>
        </is>
      </c>
      <c r="H45" t="inlineStr">
        <is>
          <t>Bergvik skog väst AB</t>
        </is>
      </c>
      <c r="I45" t="n">
        <v>42.7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s="2" t="inlineStr">
        <is>
          <t>Ask</t>
        </is>
      </c>
      <c r="W45">
        <f>HYPERLINK("https://klasma.github.io/Logging_1785/artfynd/S 155-2023 artfynd.xlsx", "S 155-2023")</f>
        <v/>
      </c>
      <c r="X45">
        <f>HYPERLINK("https://klasma.github.io/Logging_1785/kartor/S 155-2023 karta.png", "S 155-2023")</f>
        <v/>
      </c>
      <c r="Y45">
        <f>HYPERLINK("https://klasma.github.io/Logging_1785/kartor_geotiff/S 155-2023 georefererad karta.tif", "S 155-2023")</f>
        <v/>
      </c>
      <c r="AA45">
        <f>HYPERLINK("https://klasma.github.io/Logging_1785/klagomål/S 155-2023 FSC-klagomål.docx", "S 155-2023")</f>
        <v/>
      </c>
      <c r="AB45">
        <f>HYPERLINK("https://klasma.github.io/Logging_1785/klagomålsmail/S 155-2023 FSC-klagomål mail.docx", "S 155-2023")</f>
        <v/>
      </c>
      <c r="AC45">
        <f>HYPERLINK("https://klasma.github.io/Logging_1785/tillsyn/S 155-2023 tillsynsbegäran.docx", "S 155-2023")</f>
        <v/>
      </c>
      <c r="AD45">
        <f>HYPERLINK("https://klasma.github.io/Logging_1785/tillsynsmail/S 155-2023 tillsynsbegäran mail.docx", "S 155-2023")</f>
        <v/>
      </c>
    </row>
    <row r="46" ht="15" customHeight="1">
      <c r="A46" t="inlineStr">
        <is>
          <t>S 2093-2025</t>
        </is>
      </c>
      <c r="B46" t="inlineStr">
        <is>
          <t>samrådsanmälan</t>
        </is>
      </c>
      <c r="C46" t="inlineStr">
        <is>
          <t>Skogsgödsling</t>
        </is>
      </c>
      <c r="D46" s="1" t="n">
        <v>45841</v>
      </c>
      <c r="E46" s="1" t="n">
        <v>46309</v>
      </c>
      <c r="F46" t="inlineStr">
        <is>
          <t>VÄRMLANDS LÄN</t>
        </is>
      </c>
      <c r="G46" t="inlineStr">
        <is>
          <t>SÄFFLE</t>
        </is>
      </c>
      <c r="I46" t="n">
        <v>28.5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Nordfladdermus</t>
        </is>
      </c>
      <c r="W46">
        <f>HYPERLINK("https://klasma.github.io/Logging_1785/artfynd/S 2093-2025 artfynd.xlsx", "S 2093-2025")</f>
        <v/>
      </c>
      <c r="X46">
        <f>HYPERLINK("https://klasma.github.io/Logging_1785/kartor/S 2093-2025 karta.png", "S 2093-2025")</f>
        <v/>
      </c>
      <c r="Y46">
        <f>HYPERLINK("https://klasma.github.io/Logging_1785/kartor_geotiff/S 2093-2025 georefererad karta.tif", "S 2093-2025")</f>
        <v/>
      </c>
      <c r="AA46">
        <f>HYPERLINK("https://klasma.github.io/Logging_1785/klagomål/S 2093-2025 FSC-klagomål.docx", "S 2093-2025")</f>
        <v/>
      </c>
      <c r="AB46">
        <f>HYPERLINK("https://klasma.github.io/Logging_1785/klagomålsmail/S 2093-2025 FSC-klagomål mail.docx", "S 2093-2025")</f>
        <v/>
      </c>
      <c r="AC46">
        <f>HYPERLINK("https://klasma.github.io/Logging_1785/tillsyn/S 2093-2025 tillsynsbegäran.docx", "S 2093-2025")</f>
        <v/>
      </c>
      <c r="AD46">
        <f>HYPERLINK("https://klasma.github.io/Logging_1785/tillsynsmail/S 2093-2025 tillsynsbegäran mail.docx", "S 2093-2025")</f>
        <v/>
      </c>
    </row>
    <row r="47" ht="15" customHeight="1">
      <c r="A47" t="inlineStr">
        <is>
          <t>A 64801-2021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44512</v>
      </c>
      <c r="E47" s="1" t="n">
        <v>46309</v>
      </c>
      <c r="F47" t="inlineStr">
        <is>
          <t>VÄRMLANDS LÄN</t>
        </is>
      </c>
      <c r="G47" t="inlineStr">
        <is>
          <t>SÄFFLE</t>
        </is>
      </c>
      <c r="I47" t="n">
        <v>5.5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3169-2022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44582</v>
      </c>
      <c r="E48" s="1" t="n">
        <v>46309</v>
      </c>
      <c r="F48" t="inlineStr">
        <is>
          <t>VÄRMLANDS LÄN</t>
        </is>
      </c>
      <c r="G48" t="inlineStr">
        <is>
          <t>SÄFFLE</t>
        </is>
      </c>
      <c r="I48" t="n">
        <v>0.6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64805-2021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44512</v>
      </c>
      <c r="E49" s="1" t="n">
        <v>46309</v>
      </c>
      <c r="F49" t="inlineStr">
        <is>
          <t>VÄRMLANDS LÄN</t>
        </is>
      </c>
      <c r="G49" t="inlineStr">
        <is>
          <t>SÄFFLE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11214-2022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44629</v>
      </c>
      <c r="E50" s="1" t="n">
        <v>46309</v>
      </c>
      <c r="F50" t="inlineStr">
        <is>
          <t>VÄRMLANDS LÄN</t>
        </is>
      </c>
      <c r="G50" t="inlineStr">
        <is>
          <t>SÄFFLE</t>
        </is>
      </c>
      <c r="I50" t="n">
        <v>6.8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11221-2022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44629</v>
      </c>
      <c r="E51" s="1" t="n">
        <v>46309</v>
      </c>
      <c r="F51" t="inlineStr">
        <is>
          <t>VÄRMLANDS LÄN</t>
        </is>
      </c>
      <c r="G51" t="inlineStr">
        <is>
          <t>SÄFFLE</t>
        </is>
      </c>
      <c r="I51" t="n">
        <v>1.3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26201-2022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44735</v>
      </c>
      <c r="E52" s="1" t="n">
        <v>46309</v>
      </c>
      <c r="F52" t="inlineStr">
        <is>
          <t>VÄRMLANDS LÄN</t>
        </is>
      </c>
      <c r="G52" t="inlineStr">
        <is>
          <t>SÄFFLE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42071-2022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44830</v>
      </c>
      <c r="E53" s="1" t="n">
        <v>46309</v>
      </c>
      <c r="F53" t="inlineStr">
        <is>
          <t>VÄRMLANDS LÄN</t>
        </is>
      </c>
      <c r="G53" t="inlineStr">
        <is>
          <t>SÄFFLE</t>
        </is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63520-2021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44508</v>
      </c>
      <c r="E54" s="1" t="n">
        <v>46309</v>
      </c>
      <c r="F54" t="inlineStr">
        <is>
          <t>VÄRMLANDS LÄN</t>
        </is>
      </c>
      <c r="G54" t="inlineStr">
        <is>
          <t>SÄFFLE</t>
        </is>
      </c>
      <c r="I54" t="n">
        <v>0.6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2988-2022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44581</v>
      </c>
      <c r="E55" s="1" t="n">
        <v>46309</v>
      </c>
      <c r="F55" t="inlineStr">
        <is>
          <t>VÄRMLANDS LÄN</t>
        </is>
      </c>
      <c r="G55" t="inlineStr">
        <is>
          <t>SÄFFLE</t>
        </is>
      </c>
      <c r="I55" t="n">
        <v>10.4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58460-2021</t>
        </is>
      </c>
      <c r="B56" t="inlineStr">
        <is>
          <t>avverkningsanmälan</t>
        </is>
      </c>
      <c r="C56" t="inlineStr">
        <is>
          <t>Avverkning för att bevara och utveckla /försöksver</t>
        </is>
      </c>
      <c r="D56" s="1" t="n">
        <v>44488</v>
      </c>
      <c r="E56" s="1" t="n">
        <v>46309</v>
      </c>
      <c r="F56" t="inlineStr">
        <is>
          <t>VÄRMLANDS LÄN</t>
        </is>
      </c>
      <c r="G56" t="inlineStr">
        <is>
          <t>SÄFFLE</t>
        </is>
      </c>
      <c r="I56" t="n">
        <v>2.1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23095-2022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44719</v>
      </c>
      <c r="E57" s="1" t="n">
        <v>46309</v>
      </c>
      <c r="F57" t="inlineStr">
        <is>
          <t>VÄRMLANDS LÄN</t>
        </is>
      </c>
      <c r="G57" t="inlineStr">
        <is>
          <t>SÄFFLE</t>
        </is>
      </c>
      <c r="I57" t="n">
        <v>3.4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2556-2022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44580</v>
      </c>
      <c r="E58" s="1" t="n">
        <v>46309</v>
      </c>
      <c r="F58" t="inlineStr">
        <is>
          <t>VÄRMLANDS LÄN</t>
        </is>
      </c>
      <c r="G58" t="inlineStr">
        <is>
          <t>SÄFFLE</t>
        </is>
      </c>
      <c r="I58" t="n">
        <v>0.8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73758-2021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44552</v>
      </c>
      <c r="E59" s="1" t="n">
        <v>46309</v>
      </c>
      <c r="F59" t="inlineStr">
        <is>
          <t>VÄRMLANDS LÄN</t>
        </is>
      </c>
      <c r="G59" t="inlineStr">
        <is>
          <t>SÄFFLE</t>
        </is>
      </c>
      <c r="I59" t="n">
        <v>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54978-2022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44886</v>
      </c>
      <c r="E60" s="1" t="n">
        <v>46309</v>
      </c>
      <c r="F60" t="inlineStr">
        <is>
          <t>VÄRMLANDS LÄN</t>
        </is>
      </c>
      <c r="G60" t="inlineStr">
        <is>
          <t>SÄFFLE</t>
        </is>
      </c>
      <c r="I60" t="n">
        <v>1.1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63617-2021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44509</v>
      </c>
      <c r="E61" s="1" t="n">
        <v>46309</v>
      </c>
      <c r="F61" t="inlineStr">
        <is>
          <t>VÄRMLANDS LÄN</t>
        </is>
      </c>
      <c r="G61" t="inlineStr">
        <is>
          <t>SÄFFLE</t>
        </is>
      </c>
      <c r="I61" t="n">
        <v>1.1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29363-2022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44750</v>
      </c>
      <c r="E62" s="1" t="n">
        <v>46309</v>
      </c>
      <c r="F62" t="inlineStr">
        <is>
          <t>VÄRMLANDS LÄN</t>
        </is>
      </c>
      <c r="G62" t="inlineStr">
        <is>
          <t>SÄFFLE</t>
        </is>
      </c>
      <c r="I62" t="n">
        <v>2.5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73595-2021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44552</v>
      </c>
      <c r="E63" s="1" t="n">
        <v>46309</v>
      </c>
      <c r="F63" t="inlineStr">
        <is>
          <t>VÄRMLANDS LÄN</t>
        </is>
      </c>
      <c r="G63" t="inlineStr">
        <is>
          <t>SÄFFLE</t>
        </is>
      </c>
      <c r="H63" t="inlineStr">
        <is>
          <t>Kyrkan</t>
        </is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31783-2022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44776</v>
      </c>
      <c r="E64" s="1" t="n">
        <v>46309</v>
      </c>
      <c r="F64" t="inlineStr">
        <is>
          <t>VÄRMLANDS LÄN</t>
        </is>
      </c>
      <c r="G64" t="inlineStr">
        <is>
          <t>SÄFFLE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2989-2022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44581</v>
      </c>
      <c r="E65" s="1" t="n">
        <v>46309</v>
      </c>
      <c r="F65" t="inlineStr">
        <is>
          <t>VÄRMLANDS LÄN</t>
        </is>
      </c>
      <c r="G65" t="inlineStr">
        <is>
          <t>SÄFFLE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41025-2022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44824</v>
      </c>
      <c r="E66" s="1" t="n">
        <v>46309</v>
      </c>
      <c r="F66" t="inlineStr">
        <is>
          <t>VÄRMLANDS LÄN</t>
        </is>
      </c>
      <c r="G66" t="inlineStr">
        <is>
          <t>SÄFFLE</t>
        </is>
      </c>
      <c r="I66" t="n">
        <v>2.5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28534-2022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44748</v>
      </c>
      <c r="E67" s="1" t="n">
        <v>46309</v>
      </c>
      <c r="F67" t="inlineStr">
        <is>
          <t>VÄRMLANDS LÄN</t>
        </is>
      </c>
      <c r="G67" t="inlineStr">
        <is>
          <t>SÄFFLE</t>
        </is>
      </c>
      <c r="I67" t="n">
        <v>1.2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26295-2022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44735</v>
      </c>
      <c r="E68" s="1" t="n">
        <v>46309</v>
      </c>
      <c r="F68" t="inlineStr">
        <is>
          <t>VÄRMLANDS LÄN</t>
        </is>
      </c>
      <c r="G68" t="inlineStr">
        <is>
          <t>SÄFFLE</t>
        </is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27983-2022</t>
        </is>
      </c>
      <c r="B69" t="inlineStr">
        <is>
          <t>avverkningsanmälan</t>
        </is>
      </c>
      <c r="C69" t="inlineStr">
        <is>
          <t>Avverkning för annat ändamål</t>
        </is>
      </c>
      <c r="D69" s="1" t="n">
        <v>44745</v>
      </c>
      <c r="E69" s="1" t="n">
        <v>46309</v>
      </c>
      <c r="F69" t="inlineStr">
        <is>
          <t>VÄRMLANDS LÄN</t>
        </is>
      </c>
      <c r="G69" t="inlineStr">
        <is>
          <t>SÄFFLE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59834-2021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44494</v>
      </c>
      <c r="E70" s="1" t="n">
        <v>46309</v>
      </c>
      <c r="F70" t="inlineStr">
        <is>
          <t>VÄRMLANDS LÄN</t>
        </is>
      </c>
      <c r="G70" t="inlineStr">
        <is>
          <t>SÄFFLE</t>
        </is>
      </c>
      <c r="I70" t="n">
        <v>2.3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64798-2021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44512</v>
      </c>
      <c r="E71" s="1" t="n">
        <v>46309</v>
      </c>
      <c r="F71" t="inlineStr">
        <is>
          <t>VÄRMLANDS LÄN</t>
        </is>
      </c>
      <c r="G71" t="inlineStr">
        <is>
          <t>SÄFFLE</t>
        </is>
      </c>
      <c r="I71" t="n">
        <v>1.5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10668-2022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44624</v>
      </c>
      <c r="E72" s="1" t="n">
        <v>46309</v>
      </c>
      <c r="F72" t="inlineStr">
        <is>
          <t>VÄRMLANDS LÄN</t>
        </is>
      </c>
      <c r="G72" t="inlineStr">
        <is>
          <t>SÄFFLE</t>
        </is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6838-2022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44602</v>
      </c>
      <c r="E73" s="1" t="n">
        <v>46309</v>
      </c>
      <c r="F73" t="inlineStr">
        <is>
          <t>VÄRMLANDS LÄN</t>
        </is>
      </c>
      <c r="G73" t="inlineStr">
        <is>
          <t>SÄFFLE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59510-2021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44491</v>
      </c>
      <c r="E74" s="1" t="n">
        <v>46309</v>
      </c>
      <c r="F74" t="inlineStr">
        <is>
          <t>VÄRMLANDS LÄN</t>
        </is>
      </c>
      <c r="G74" t="inlineStr">
        <is>
          <t>SÄFFLE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71742-2021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44543</v>
      </c>
      <c r="E75" s="1" t="n">
        <v>46309</v>
      </c>
      <c r="F75" t="inlineStr">
        <is>
          <t>VÄRMLANDS LÄN</t>
        </is>
      </c>
      <c r="G75" t="inlineStr">
        <is>
          <t>SÄFFLE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63112-2021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44505</v>
      </c>
      <c r="E76" s="1" t="n">
        <v>46309</v>
      </c>
      <c r="F76" t="inlineStr">
        <is>
          <t>VÄRMLANDS LÄN</t>
        </is>
      </c>
      <c r="G76" t="inlineStr">
        <is>
          <t>SÄFFLE</t>
        </is>
      </c>
      <c r="I76" t="n">
        <v>2.3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17006-2022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44676</v>
      </c>
      <c r="E77" s="1" t="n">
        <v>46309</v>
      </c>
      <c r="F77" t="inlineStr">
        <is>
          <t>VÄRMLANDS LÄN</t>
        </is>
      </c>
      <c r="G77" t="inlineStr">
        <is>
          <t>SÄFFLE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11184-2022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44629</v>
      </c>
      <c r="E78" s="1" t="n">
        <v>46309</v>
      </c>
      <c r="F78" t="inlineStr">
        <is>
          <t>VÄRMLANDS LÄN</t>
        </is>
      </c>
      <c r="G78" t="inlineStr">
        <is>
          <t>SÄFFLE</t>
        </is>
      </c>
      <c r="I78" t="n">
        <v>3.8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23090-2022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44719</v>
      </c>
      <c r="E79" s="1" t="n">
        <v>46309</v>
      </c>
      <c r="F79" t="inlineStr">
        <is>
          <t>VÄRMLANDS LÄN</t>
        </is>
      </c>
      <c r="G79" t="inlineStr">
        <is>
          <t>SÄFFLE</t>
        </is>
      </c>
      <c r="I79" t="n">
        <v>3.3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32145-2022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44780</v>
      </c>
      <c r="E80" s="1" t="n">
        <v>46309</v>
      </c>
      <c r="F80" t="inlineStr">
        <is>
          <t>VÄRMLANDS LÄN</t>
        </is>
      </c>
      <c r="G80" t="inlineStr">
        <is>
          <t>SÄFFLE</t>
        </is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32147-2022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44780</v>
      </c>
      <c r="E81" s="1" t="n">
        <v>46309</v>
      </c>
      <c r="F81" t="inlineStr">
        <is>
          <t>VÄRMLANDS LÄN</t>
        </is>
      </c>
      <c r="G81" t="inlineStr">
        <is>
          <t>SÄFFLE</t>
        </is>
      </c>
      <c r="I81" t="n">
        <v>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64442-2021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44511</v>
      </c>
      <c r="E82" s="1" t="n">
        <v>46309</v>
      </c>
      <c r="F82" t="inlineStr">
        <is>
          <t>VÄRMLANDS LÄN</t>
        </is>
      </c>
      <c r="G82" t="inlineStr">
        <is>
          <t>SÄFFLE</t>
        </is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45893-2022</t>
        </is>
      </c>
      <c r="B83" t="inlineStr">
        <is>
          <t>avverkningsanmälan</t>
        </is>
      </c>
      <c r="C83" t="inlineStr">
        <is>
          <t>Avverkning för att bevara och utveckla /försöksver</t>
        </is>
      </c>
      <c r="D83" s="1" t="n">
        <v>44846</v>
      </c>
      <c r="E83" s="1" t="n">
        <v>46309</v>
      </c>
      <c r="F83" t="inlineStr">
        <is>
          <t>VÄRMLANDS LÄN</t>
        </is>
      </c>
      <c r="G83" t="inlineStr">
        <is>
          <t>SÄFFLE</t>
        </is>
      </c>
      <c r="H83" t="inlineStr">
        <is>
          <t>Kyrkan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44554-2022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44840</v>
      </c>
      <c r="E84" s="1" t="n">
        <v>46309</v>
      </c>
      <c r="F84" t="inlineStr">
        <is>
          <t>VÄRMLANDS LÄN</t>
        </is>
      </c>
      <c r="G84" t="inlineStr">
        <is>
          <t>SÄFFLE</t>
        </is>
      </c>
      <c r="I84" t="n">
        <v>6.3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44561-2022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44840</v>
      </c>
      <c r="E85" s="1" t="n">
        <v>46309</v>
      </c>
      <c r="F85" t="inlineStr">
        <is>
          <t>VÄRMLANDS LÄN</t>
        </is>
      </c>
      <c r="G85" t="inlineStr">
        <is>
          <t>SÄFFLE</t>
        </is>
      </c>
      <c r="I85" t="n">
        <v>6.6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74147-2021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44557</v>
      </c>
      <c r="E86" s="1" t="n">
        <v>46309</v>
      </c>
      <c r="F86" t="inlineStr">
        <is>
          <t>VÄRMLANDS LÄN</t>
        </is>
      </c>
      <c r="G86" t="inlineStr">
        <is>
          <t>SÄFFLE</t>
        </is>
      </c>
      <c r="I86" t="n">
        <v>6.5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22057-2022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44711</v>
      </c>
      <c r="E87" s="1" t="n">
        <v>46309</v>
      </c>
      <c r="F87" t="inlineStr">
        <is>
          <t>VÄRMLANDS LÄN</t>
        </is>
      </c>
      <c r="G87" t="inlineStr">
        <is>
          <t>SÄFFLE</t>
        </is>
      </c>
      <c r="I87" t="n">
        <v>2.1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50415-2022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44861</v>
      </c>
      <c r="E88" s="1" t="n">
        <v>46309</v>
      </c>
      <c r="F88" t="inlineStr">
        <is>
          <t>VÄRMLANDS LÄN</t>
        </is>
      </c>
      <c r="G88" t="inlineStr">
        <is>
          <t>SÄFFLE</t>
        </is>
      </c>
      <c r="I88" t="n">
        <v>4.8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32146-2022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44780</v>
      </c>
      <c r="E89" s="1" t="n">
        <v>46309</v>
      </c>
      <c r="F89" t="inlineStr">
        <is>
          <t>VÄRMLANDS LÄN</t>
        </is>
      </c>
      <c r="G89" t="inlineStr">
        <is>
          <t>SÄFFLE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7499-2022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44607</v>
      </c>
      <c r="E90" s="1" t="n">
        <v>46309</v>
      </c>
      <c r="F90" t="inlineStr">
        <is>
          <t>VÄRMLANDS LÄN</t>
        </is>
      </c>
      <c r="G90" t="inlineStr">
        <is>
          <t>SÄFFLE</t>
        </is>
      </c>
      <c r="I90" t="n">
        <v>8.6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7502-2022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44607</v>
      </c>
      <c r="E91" s="1" t="n">
        <v>46309</v>
      </c>
      <c r="F91" t="inlineStr">
        <is>
          <t>VÄRMLANDS LÄN</t>
        </is>
      </c>
      <c r="G91" t="inlineStr">
        <is>
          <t>SÄFFLE</t>
        </is>
      </c>
      <c r="I91" t="n">
        <v>4.1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6773-2022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44602</v>
      </c>
      <c r="E92" s="1" t="n">
        <v>46309</v>
      </c>
      <c r="F92" t="inlineStr">
        <is>
          <t>VÄRMLANDS LÄN</t>
        </is>
      </c>
      <c r="G92" t="inlineStr">
        <is>
          <t>SÄFFLE</t>
        </is>
      </c>
      <c r="I92" t="n">
        <v>1.8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51113-2022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44868</v>
      </c>
      <c r="E93" s="1" t="n">
        <v>46309</v>
      </c>
      <c r="F93" t="inlineStr">
        <is>
          <t>VÄRMLANDS LÄN</t>
        </is>
      </c>
      <c r="G93" t="inlineStr">
        <is>
          <t>SÄFFLE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11210-2022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44629</v>
      </c>
      <c r="E94" s="1" t="n">
        <v>46309</v>
      </c>
      <c r="F94" t="inlineStr">
        <is>
          <t>VÄRMLANDS LÄN</t>
        </is>
      </c>
      <c r="G94" t="inlineStr">
        <is>
          <t>SÄFFLE</t>
        </is>
      </c>
      <c r="I94" t="n">
        <v>1.8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9296-2022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44616</v>
      </c>
      <c r="E95" s="1" t="n">
        <v>46309</v>
      </c>
      <c r="F95" t="inlineStr">
        <is>
          <t>VÄRMLANDS LÄN</t>
        </is>
      </c>
      <c r="G95" t="inlineStr">
        <is>
          <t>SÄFFLE</t>
        </is>
      </c>
      <c r="I95" t="n">
        <v>12.1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13757-2022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44649</v>
      </c>
      <c r="E96" s="1" t="n">
        <v>46309</v>
      </c>
      <c r="F96" t="inlineStr">
        <is>
          <t>VÄRMLANDS LÄN</t>
        </is>
      </c>
      <c r="G96" t="inlineStr">
        <is>
          <t>SÄFFLE</t>
        </is>
      </c>
      <c r="I96" t="n">
        <v>15.1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73115-2021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44546</v>
      </c>
      <c r="E97" s="1" t="n">
        <v>46309</v>
      </c>
      <c r="F97" t="inlineStr">
        <is>
          <t>VÄRMLANDS LÄN</t>
        </is>
      </c>
      <c r="G97" t="inlineStr">
        <is>
          <t>SÄFFLE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73162-2021</t>
        </is>
      </c>
      <c r="B98" t="inlineStr">
        <is>
          <t>avverkningsanmälan</t>
        </is>
      </c>
      <c r="C98" t="inlineStr">
        <is>
          <t>Avverkning för annat ändamål</t>
        </is>
      </c>
      <c r="D98" s="1" t="n">
        <v>44550</v>
      </c>
      <c r="E98" s="1" t="n">
        <v>46309</v>
      </c>
      <c r="F98" t="inlineStr">
        <is>
          <t>VÄRMLANDS LÄN</t>
        </is>
      </c>
      <c r="G98" t="inlineStr">
        <is>
          <t>SÄFFLE</t>
        </is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70962-2021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44538</v>
      </c>
      <c r="E99" s="1" t="n">
        <v>46309</v>
      </c>
      <c r="F99" t="inlineStr">
        <is>
          <t>VÄRMLANDS LÄN</t>
        </is>
      </c>
      <c r="G99" t="inlineStr">
        <is>
          <t>SÄFFLE</t>
        </is>
      </c>
      <c r="I99" t="n">
        <v>4.1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40391-2022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44819</v>
      </c>
      <c r="E100" s="1" t="n">
        <v>46309</v>
      </c>
      <c r="F100" t="inlineStr">
        <is>
          <t>VÄRMLANDS LÄN</t>
        </is>
      </c>
      <c r="G100" t="inlineStr">
        <is>
          <t>SÄFFLE</t>
        </is>
      </c>
      <c r="I100" t="n">
        <v>0.7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37040-2022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44806</v>
      </c>
      <c r="E101" s="1" t="n">
        <v>46309</v>
      </c>
      <c r="F101" t="inlineStr">
        <is>
          <t>VÄRMLANDS LÄN</t>
        </is>
      </c>
      <c r="G101" t="inlineStr">
        <is>
          <t>SÄFFLE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68155-2021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44526</v>
      </c>
      <c r="E102" s="1" t="n">
        <v>46309</v>
      </c>
      <c r="F102" t="inlineStr">
        <is>
          <t>VÄRMLANDS LÄN</t>
        </is>
      </c>
      <c r="G102" t="inlineStr">
        <is>
          <t>SÄFFLE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9359-2022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44616</v>
      </c>
      <c r="E103" s="1" t="n">
        <v>46309</v>
      </c>
      <c r="F103" t="inlineStr">
        <is>
          <t>VÄRMLANDS LÄN</t>
        </is>
      </c>
      <c r="G103" t="inlineStr">
        <is>
          <t>SÄFFLE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23086-2022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44719</v>
      </c>
      <c r="E104" s="1" t="n">
        <v>46309</v>
      </c>
      <c r="F104" t="inlineStr">
        <is>
          <t>VÄRMLANDS LÄN</t>
        </is>
      </c>
      <c r="G104" t="inlineStr">
        <is>
          <t>SÄFFLE</t>
        </is>
      </c>
      <c r="I104" t="n">
        <v>3.8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13146-2022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44644</v>
      </c>
      <c r="E105" s="1" t="n">
        <v>46309</v>
      </c>
      <c r="F105" t="inlineStr">
        <is>
          <t>VÄRMLANDS LÄN</t>
        </is>
      </c>
      <c r="G105" t="inlineStr">
        <is>
          <t>SÄFFLE</t>
        </is>
      </c>
      <c r="I105" t="n">
        <v>2.4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41686-2022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44826</v>
      </c>
      <c r="E106" s="1" t="n">
        <v>46309</v>
      </c>
      <c r="F106" t="inlineStr">
        <is>
          <t>VÄRMLANDS LÄN</t>
        </is>
      </c>
      <c r="G106" t="inlineStr">
        <is>
          <t>SÄFFLE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17904-2022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44683</v>
      </c>
      <c r="E107" s="1" t="n">
        <v>46309</v>
      </c>
      <c r="F107" t="inlineStr">
        <is>
          <t>VÄRMLANDS LÄN</t>
        </is>
      </c>
      <c r="G107" t="inlineStr">
        <is>
          <t>SÄFFLE</t>
        </is>
      </c>
      <c r="I107" t="n">
        <v>0.8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17496-2022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44679</v>
      </c>
      <c r="E108" s="1" t="n">
        <v>46309</v>
      </c>
      <c r="F108" t="inlineStr">
        <is>
          <t>VÄRMLANDS LÄN</t>
        </is>
      </c>
      <c r="G108" t="inlineStr">
        <is>
          <t>SÄFFLE</t>
        </is>
      </c>
      <c r="I108" t="n">
        <v>1.4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18479-2022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44686</v>
      </c>
      <c r="E109" s="1" t="n">
        <v>46309</v>
      </c>
      <c r="F109" t="inlineStr">
        <is>
          <t>VÄRMLANDS LÄN</t>
        </is>
      </c>
      <c r="G109" t="inlineStr">
        <is>
          <t>SÄFFLE</t>
        </is>
      </c>
      <c r="I109" t="n">
        <v>2.4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66385-2021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44518</v>
      </c>
      <c r="E110" s="1" t="n">
        <v>46309</v>
      </c>
      <c r="F110" t="inlineStr">
        <is>
          <t>VÄRMLANDS LÄN</t>
        </is>
      </c>
      <c r="G110" t="inlineStr">
        <is>
          <t>SÄFFLE</t>
        </is>
      </c>
      <c r="I110" t="n">
        <v>3.2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20119-2022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44698</v>
      </c>
      <c r="E111" s="1" t="n">
        <v>46309</v>
      </c>
      <c r="F111" t="inlineStr">
        <is>
          <t>VÄRMLANDS LÄN</t>
        </is>
      </c>
      <c r="G111" t="inlineStr">
        <is>
          <t>SÄFFLE</t>
        </is>
      </c>
      <c r="I111" t="n">
        <v>2.5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10874-2022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44627</v>
      </c>
      <c r="E112" s="1" t="n">
        <v>46309</v>
      </c>
      <c r="F112" t="inlineStr">
        <is>
          <t>VÄRMLANDS LÄN</t>
        </is>
      </c>
      <c r="G112" t="inlineStr">
        <is>
          <t>SÄFFLE</t>
        </is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39990-2022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44820</v>
      </c>
      <c r="E113" s="1" t="n">
        <v>46309</v>
      </c>
      <c r="F113" t="inlineStr">
        <is>
          <t>VÄRMLANDS LÄN</t>
        </is>
      </c>
      <c r="G113" t="inlineStr">
        <is>
          <t>SÄFFLE</t>
        </is>
      </c>
      <c r="H113" t="inlineStr">
        <is>
          <t>Kyrkan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41858-2022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44829</v>
      </c>
      <c r="E114" s="1" t="n">
        <v>46309</v>
      </c>
      <c r="F114" t="inlineStr">
        <is>
          <t>VÄRMLANDS LÄN</t>
        </is>
      </c>
      <c r="G114" t="inlineStr">
        <is>
          <t>SÄFFLE</t>
        </is>
      </c>
      <c r="I114" t="n">
        <v>1.2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8826-2025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45712</v>
      </c>
      <c r="E115" s="1" t="n">
        <v>46309</v>
      </c>
      <c r="F115" t="inlineStr">
        <is>
          <t>VÄRMLANDS LÄN</t>
        </is>
      </c>
      <c r="G115" t="inlineStr">
        <is>
          <t>SÄFFLE</t>
        </is>
      </c>
      <c r="H115" t="inlineStr">
        <is>
          <t>Kommuner</t>
        </is>
      </c>
      <c r="I115" t="n">
        <v>1.6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50076-2023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45208</v>
      </c>
      <c r="E116" s="1" t="n">
        <v>46309</v>
      </c>
      <c r="F116" t="inlineStr">
        <is>
          <t>VÄRMLANDS LÄN</t>
        </is>
      </c>
      <c r="G116" t="inlineStr">
        <is>
          <t>SÄFFLE</t>
        </is>
      </c>
      <c r="I116" t="n">
        <v>3.3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10645-2024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45367</v>
      </c>
      <c r="E117" s="1" t="n">
        <v>46309</v>
      </c>
      <c r="F117" t="inlineStr">
        <is>
          <t>VÄRMLANDS LÄN</t>
        </is>
      </c>
      <c r="G117" t="inlineStr">
        <is>
          <t>SÄFFLE</t>
        </is>
      </c>
      <c r="I117" t="n">
        <v>1.8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40887-2022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44825</v>
      </c>
      <c r="E118" s="1" t="n">
        <v>46309</v>
      </c>
      <c r="F118" t="inlineStr">
        <is>
          <t>VÄRMLANDS LÄN</t>
        </is>
      </c>
      <c r="G118" t="inlineStr">
        <is>
          <t>SÄFFLE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13029-2024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45385</v>
      </c>
      <c r="E119" s="1" t="n">
        <v>46309</v>
      </c>
      <c r="F119" t="inlineStr">
        <is>
          <t>VÄRMLANDS LÄN</t>
        </is>
      </c>
      <c r="G119" t="inlineStr">
        <is>
          <t>SÄFFLE</t>
        </is>
      </c>
      <c r="I119" t="n">
        <v>7.9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10473-2025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45720</v>
      </c>
      <c r="E120" s="1" t="n">
        <v>46309</v>
      </c>
      <c r="F120" t="inlineStr">
        <is>
          <t>VÄRMLANDS LÄN</t>
        </is>
      </c>
      <c r="G120" t="inlineStr">
        <is>
          <t>SÄFFLE</t>
        </is>
      </c>
      <c r="H120" t="inlineStr">
        <is>
          <t>Kyrkan</t>
        </is>
      </c>
      <c r="I120" t="n">
        <v>2.8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14010-2024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45392</v>
      </c>
      <c r="E121" s="1" t="n">
        <v>46309</v>
      </c>
      <c r="F121" t="inlineStr">
        <is>
          <t>VÄRMLANDS LÄN</t>
        </is>
      </c>
      <c r="G121" t="inlineStr">
        <is>
          <t>SÄFFLE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19161-2024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45428</v>
      </c>
      <c r="E122" s="1" t="n">
        <v>46309</v>
      </c>
      <c r="F122" t="inlineStr">
        <is>
          <t>VÄRMLANDS LÄN</t>
        </is>
      </c>
      <c r="G122" t="inlineStr">
        <is>
          <t>SÄFFLE</t>
        </is>
      </c>
      <c r="I122" t="n">
        <v>1.3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27243-2024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45471</v>
      </c>
      <c r="E123" s="1" t="n">
        <v>46309</v>
      </c>
      <c r="F123" t="inlineStr">
        <is>
          <t>VÄRMLANDS LÄN</t>
        </is>
      </c>
      <c r="G123" t="inlineStr">
        <is>
          <t>SÄFFLE</t>
        </is>
      </c>
      <c r="I123" t="n">
        <v>5.2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61643-2023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45261</v>
      </c>
      <c r="E124" s="1" t="n">
        <v>46309</v>
      </c>
      <c r="F124" t="inlineStr">
        <is>
          <t>VÄRMLANDS LÄN</t>
        </is>
      </c>
      <c r="G124" t="inlineStr">
        <is>
          <t>SÄFFLE</t>
        </is>
      </c>
      <c r="I124" t="n">
        <v>1.8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40759-2024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45558</v>
      </c>
      <c r="E125" s="1" t="n">
        <v>46309</v>
      </c>
      <c r="F125" t="inlineStr">
        <is>
          <t>VÄRMLANDS LÄN</t>
        </is>
      </c>
      <c r="G125" t="inlineStr">
        <is>
          <t>SÄFFLE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23624-2024</t>
        </is>
      </c>
      <c r="B126" t="inlineStr">
        <is>
          <t>avverkningsanmälan</t>
        </is>
      </c>
      <c r="C126" t="inlineStr">
        <is>
          <t>Avverkning för annat ändamål</t>
        </is>
      </c>
      <c r="D126" s="1" t="n">
        <v>45454</v>
      </c>
      <c r="E126" s="1" t="n">
        <v>46309</v>
      </c>
      <c r="F126" t="inlineStr">
        <is>
          <t>VÄRMLANDS LÄN</t>
        </is>
      </c>
      <c r="G126" t="inlineStr">
        <is>
          <t>SÄFFLE</t>
        </is>
      </c>
      <c r="H126" t="inlineStr">
        <is>
          <t>Kommuner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13292-2024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45386</v>
      </c>
      <c r="E127" s="1" t="n">
        <v>46309</v>
      </c>
      <c r="F127" t="inlineStr">
        <is>
          <t>VÄRMLANDS LÄN</t>
        </is>
      </c>
      <c r="G127" t="inlineStr">
        <is>
          <t>SÄFFLE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51052-2022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44868</v>
      </c>
      <c r="E128" s="1" t="n">
        <v>46309</v>
      </c>
      <c r="F128" t="inlineStr">
        <is>
          <t>VÄRMLANDS LÄN</t>
        </is>
      </c>
      <c r="G128" t="inlineStr">
        <is>
          <t>SÄFFLE</t>
        </is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22254-2023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45070</v>
      </c>
      <c r="E129" s="1" t="n">
        <v>46309</v>
      </c>
      <c r="F129" t="inlineStr">
        <is>
          <t>VÄRMLANDS LÄN</t>
        </is>
      </c>
      <c r="G129" t="inlineStr">
        <is>
          <t>SÄFFLE</t>
        </is>
      </c>
      <c r="I129" t="n">
        <v>1.8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56452-2023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45237</v>
      </c>
      <c r="E130" s="1" t="n">
        <v>46309</v>
      </c>
      <c r="F130" t="inlineStr">
        <is>
          <t>VÄRMLANDS LÄN</t>
        </is>
      </c>
      <c r="G130" t="inlineStr">
        <is>
          <t>SÄFFLE</t>
        </is>
      </c>
      <c r="I130" t="n">
        <v>7.1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73157-2021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44550</v>
      </c>
      <c r="E131" s="1" t="n">
        <v>46309</v>
      </c>
      <c r="F131" t="inlineStr">
        <is>
          <t>VÄRMLANDS LÄN</t>
        </is>
      </c>
      <c r="G131" t="inlineStr">
        <is>
          <t>SÄFFLE</t>
        </is>
      </c>
      <c r="I131" t="n">
        <v>1.3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24305-2024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45457</v>
      </c>
      <c r="E132" s="1" t="n">
        <v>46309</v>
      </c>
      <c r="F132" t="inlineStr">
        <is>
          <t>VÄRMLANDS LÄN</t>
        </is>
      </c>
      <c r="G132" t="inlineStr">
        <is>
          <t>SÄFFLE</t>
        </is>
      </c>
      <c r="I132" t="n">
        <v>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60423-2022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44911</v>
      </c>
      <c r="E133" s="1" t="n">
        <v>46309</v>
      </c>
      <c r="F133" t="inlineStr">
        <is>
          <t>VÄRMLANDS LÄN</t>
        </is>
      </c>
      <c r="G133" t="inlineStr">
        <is>
          <t>SÄFFLE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50442-2022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44861</v>
      </c>
      <c r="E134" s="1" t="n">
        <v>46309</v>
      </c>
      <c r="F134" t="inlineStr">
        <is>
          <t>VÄRMLANDS LÄN</t>
        </is>
      </c>
      <c r="G134" t="inlineStr">
        <is>
          <t>SÄFFLE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10354-2025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45720</v>
      </c>
      <c r="E135" s="1" t="n">
        <v>46309</v>
      </c>
      <c r="F135" t="inlineStr">
        <is>
          <t>VÄRMLANDS LÄN</t>
        </is>
      </c>
      <c r="G135" t="inlineStr">
        <is>
          <t>SÄFFLE</t>
        </is>
      </c>
      <c r="H135" t="inlineStr">
        <is>
          <t>Kyrkan</t>
        </is>
      </c>
      <c r="I135" t="n">
        <v>1.5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23371-2025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45791</v>
      </c>
      <c r="E136" s="1" t="n">
        <v>46309</v>
      </c>
      <c r="F136" t="inlineStr">
        <is>
          <t>VÄRMLANDS LÄN</t>
        </is>
      </c>
      <c r="G136" t="inlineStr">
        <is>
          <t>SÄFFLE</t>
        </is>
      </c>
      <c r="H136" t="inlineStr">
        <is>
          <t>Bergvik skog väst AB</t>
        </is>
      </c>
      <c r="I136" t="n">
        <v>4.6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23081-2025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45791</v>
      </c>
      <c r="E137" s="1" t="n">
        <v>46309</v>
      </c>
      <c r="F137" t="inlineStr">
        <is>
          <t>VÄRMLANDS LÄN</t>
        </is>
      </c>
      <c r="G137" t="inlineStr">
        <is>
          <t>SÄFFLE</t>
        </is>
      </c>
      <c r="I137" t="n">
        <v>0.9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63985-2023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45278</v>
      </c>
      <c r="E138" s="1" t="n">
        <v>46309</v>
      </c>
      <c r="F138" t="inlineStr">
        <is>
          <t>VÄRMLANDS LÄN</t>
        </is>
      </c>
      <c r="G138" t="inlineStr">
        <is>
          <t>SÄFFLE</t>
        </is>
      </c>
      <c r="I138" t="n">
        <v>2.2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44346-2024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45573</v>
      </c>
      <c r="E139" s="1" t="n">
        <v>46309</v>
      </c>
      <c r="F139" t="inlineStr">
        <is>
          <t>VÄRMLANDS LÄN</t>
        </is>
      </c>
      <c r="G139" t="inlineStr">
        <is>
          <t>SÄFFLE</t>
        </is>
      </c>
      <c r="I139" t="n">
        <v>2.1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1838-2023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44938</v>
      </c>
      <c r="E140" s="1" t="n">
        <v>46309</v>
      </c>
      <c r="F140" t="inlineStr">
        <is>
          <t>VÄRMLANDS LÄN</t>
        </is>
      </c>
      <c r="G140" t="inlineStr">
        <is>
          <t>SÄFFLE</t>
        </is>
      </c>
      <c r="I140" t="n">
        <v>5.7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23357-2025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45791</v>
      </c>
      <c r="E141" s="1" t="n">
        <v>46309</v>
      </c>
      <c r="F141" t="inlineStr">
        <is>
          <t>VÄRMLANDS LÄN</t>
        </is>
      </c>
      <c r="G141" t="inlineStr">
        <is>
          <t>SÄFFLE</t>
        </is>
      </c>
      <c r="H141" t="inlineStr">
        <is>
          <t>Bergvik skog väst AB</t>
        </is>
      </c>
      <c r="I141" t="n">
        <v>3.5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21074-2024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45439</v>
      </c>
      <c r="E142" s="1" t="n">
        <v>46309</v>
      </c>
      <c r="F142" t="inlineStr">
        <is>
          <t>VÄRMLANDS LÄN</t>
        </is>
      </c>
      <c r="G142" t="inlineStr">
        <is>
          <t>SÄFFLE</t>
        </is>
      </c>
      <c r="I142" t="n">
        <v>2.9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8129-2025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45707</v>
      </c>
      <c r="E143" s="1" t="n">
        <v>46309</v>
      </c>
      <c r="F143" t="inlineStr">
        <is>
          <t>VÄRMLANDS LÄN</t>
        </is>
      </c>
      <c r="G143" t="inlineStr">
        <is>
          <t>SÄFFLE</t>
        </is>
      </c>
      <c r="I143" t="n">
        <v>2.2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24109-2025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45796</v>
      </c>
      <c r="E144" s="1" t="n">
        <v>46309</v>
      </c>
      <c r="F144" t="inlineStr">
        <is>
          <t>VÄRMLANDS LÄN</t>
        </is>
      </c>
      <c r="G144" t="inlineStr">
        <is>
          <t>SÄFFLE</t>
        </is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23337-2024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45453</v>
      </c>
      <c r="E145" s="1" t="n">
        <v>46309</v>
      </c>
      <c r="F145" t="inlineStr">
        <is>
          <t>VÄRMLANDS LÄN</t>
        </is>
      </c>
      <c r="G145" t="inlineStr">
        <is>
          <t>SÄFFLE</t>
        </is>
      </c>
      <c r="I145" t="n">
        <v>1.8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32096-2023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45107</v>
      </c>
      <c r="E146" s="1" t="n">
        <v>46309</v>
      </c>
      <c r="F146" t="inlineStr">
        <is>
          <t>VÄRMLANDS LÄN</t>
        </is>
      </c>
      <c r="G146" t="inlineStr">
        <is>
          <t>SÄFFLE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4093-2024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45323</v>
      </c>
      <c r="E147" s="1" t="n">
        <v>46309</v>
      </c>
      <c r="F147" t="inlineStr">
        <is>
          <t>VÄRMLANDS LÄN</t>
        </is>
      </c>
      <c r="G147" t="inlineStr">
        <is>
          <t>SÄFFLE</t>
        </is>
      </c>
      <c r="I147" t="n">
        <v>3.2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972-2026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46030</v>
      </c>
      <c r="E148" s="1" t="n">
        <v>46309</v>
      </c>
      <c r="F148" t="inlineStr">
        <is>
          <t>VÄRMLANDS LÄN</t>
        </is>
      </c>
      <c r="G148" t="inlineStr">
        <is>
          <t>SÄFFLE</t>
        </is>
      </c>
      <c r="I148" t="n">
        <v>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1534-2024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45306</v>
      </c>
      <c r="E149" s="1" t="n">
        <v>46309</v>
      </c>
      <c r="F149" t="inlineStr">
        <is>
          <t>VÄRMLANDS LÄN</t>
        </is>
      </c>
      <c r="G149" t="inlineStr">
        <is>
          <t>SÄFFLE</t>
        </is>
      </c>
      <c r="I149" t="n">
        <v>4.6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59632-2024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45638</v>
      </c>
      <c r="E150" s="1" t="n">
        <v>46309</v>
      </c>
      <c r="F150" t="inlineStr">
        <is>
          <t>VÄRMLANDS LÄN</t>
        </is>
      </c>
      <c r="G150" t="inlineStr">
        <is>
          <t>SÄFFLE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23737-2024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45454</v>
      </c>
      <c r="E151" s="1" t="n">
        <v>46309</v>
      </c>
      <c r="F151" t="inlineStr">
        <is>
          <t>VÄRMLANDS LÄN</t>
        </is>
      </c>
      <c r="G151" t="inlineStr">
        <is>
          <t>SÄFFLE</t>
        </is>
      </c>
      <c r="H151" t="inlineStr">
        <is>
          <t>Bergvik skog väst AB</t>
        </is>
      </c>
      <c r="I151" t="n">
        <v>0.7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952-2026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46030</v>
      </c>
      <c r="E152" s="1" t="n">
        <v>46309</v>
      </c>
      <c r="F152" t="inlineStr">
        <is>
          <t>VÄRMLANDS LÄN</t>
        </is>
      </c>
      <c r="G152" t="inlineStr">
        <is>
          <t>SÄFFLE</t>
        </is>
      </c>
      <c r="I152" t="n">
        <v>5.4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963-2026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46030</v>
      </c>
      <c r="E153" s="1" t="n">
        <v>46309</v>
      </c>
      <c r="F153" t="inlineStr">
        <is>
          <t>VÄRMLANDS LÄN</t>
        </is>
      </c>
      <c r="G153" t="inlineStr">
        <is>
          <t>SÄFFLE</t>
        </is>
      </c>
      <c r="I153" t="n">
        <v>6.5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37494-2025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45877</v>
      </c>
      <c r="E154" s="1" t="n">
        <v>46309</v>
      </c>
      <c r="F154" t="inlineStr">
        <is>
          <t>VÄRMLANDS LÄN</t>
        </is>
      </c>
      <c r="G154" t="inlineStr">
        <is>
          <t>SÄFFLE</t>
        </is>
      </c>
      <c r="I154" t="n">
        <v>0.4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57179-2023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45239</v>
      </c>
      <c r="E155" s="1" t="n">
        <v>46309</v>
      </c>
      <c r="F155" t="inlineStr">
        <is>
          <t>VÄRMLANDS LÄN</t>
        </is>
      </c>
      <c r="G155" t="inlineStr">
        <is>
          <t>SÄFFLE</t>
        </is>
      </c>
      <c r="I155" t="n">
        <v>2.3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28004-2025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45817</v>
      </c>
      <c r="E156" s="1" t="n">
        <v>46309</v>
      </c>
      <c r="F156" t="inlineStr">
        <is>
          <t>VÄRMLANDS LÄN</t>
        </is>
      </c>
      <c r="G156" t="inlineStr">
        <is>
          <t>SÄFFLE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39184-2025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45888</v>
      </c>
      <c r="E157" s="1" t="n">
        <v>46309</v>
      </c>
      <c r="F157" t="inlineStr">
        <is>
          <t>VÄRMLANDS LÄN</t>
        </is>
      </c>
      <c r="G157" t="inlineStr">
        <is>
          <t>SÄFFLE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39178-2025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45888</v>
      </c>
      <c r="E158" s="1" t="n">
        <v>46309</v>
      </c>
      <c r="F158" t="inlineStr">
        <is>
          <t>VÄRMLANDS LÄN</t>
        </is>
      </c>
      <c r="G158" t="inlineStr">
        <is>
          <t>SÄFFLE</t>
        </is>
      </c>
      <c r="I158" t="n">
        <v>3.9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1677-2026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46034</v>
      </c>
      <c r="E159" s="1" t="n">
        <v>46309</v>
      </c>
      <c r="F159" t="inlineStr">
        <is>
          <t>VÄRMLANDS LÄN</t>
        </is>
      </c>
      <c r="G159" t="inlineStr">
        <is>
          <t>SÄFFLE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55088-2022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44881</v>
      </c>
      <c r="E160" s="1" t="n">
        <v>46309</v>
      </c>
      <c r="F160" t="inlineStr">
        <is>
          <t>VÄRMLANDS LÄN</t>
        </is>
      </c>
      <c r="G160" t="inlineStr">
        <is>
          <t>SÄFFLE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31855-2025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45834</v>
      </c>
      <c r="E161" s="1" t="n">
        <v>46309</v>
      </c>
      <c r="F161" t="inlineStr">
        <is>
          <t>VÄRMLANDS LÄN</t>
        </is>
      </c>
      <c r="G161" t="inlineStr">
        <is>
          <t>SÄFFLE</t>
        </is>
      </c>
      <c r="H161" t="inlineStr">
        <is>
          <t>Kyrkan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39147-2025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45888</v>
      </c>
      <c r="E162" s="1" t="n">
        <v>46309</v>
      </c>
      <c r="F162" t="inlineStr">
        <is>
          <t>VÄRMLANDS LÄN</t>
        </is>
      </c>
      <c r="G162" t="inlineStr">
        <is>
          <t>SÄFFLE</t>
        </is>
      </c>
      <c r="I162" t="n">
        <v>2.8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6829-2024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45342</v>
      </c>
      <c r="E163" s="1" t="n">
        <v>46309</v>
      </c>
      <c r="F163" t="inlineStr">
        <is>
          <t>VÄRMLANDS LÄN</t>
        </is>
      </c>
      <c r="G163" t="inlineStr">
        <is>
          <t>SÄFFLE</t>
        </is>
      </c>
      <c r="I163" t="n">
        <v>0.8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25027-2025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45799</v>
      </c>
      <c r="E164" s="1" t="n">
        <v>46309</v>
      </c>
      <c r="F164" t="inlineStr">
        <is>
          <t>VÄRMLANDS LÄN</t>
        </is>
      </c>
      <c r="G164" t="inlineStr">
        <is>
          <t>SÄFFLE</t>
        </is>
      </c>
      <c r="I164" t="n">
        <v>4.1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25183-2025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45800</v>
      </c>
      <c r="E165" s="1" t="n">
        <v>46309</v>
      </c>
      <c r="F165" t="inlineStr">
        <is>
          <t>VÄRMLANDS LÄN</t>
        </is>
      </c>
      <c r="G165" t="inlineStr">
        <is>
          <t>SÄFFLE</t>
        </is>
      </c>
      <c r="I165" t="n">
        <v>16.1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39588-2025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45890</v>
      </c>
      <c r="E166" s="1" t="n">
        <v>46309</v>
      </c>
      <c r="F166" t="inlineStr">
        <is>
          <t>VÄRMLANDS LÄN</t>
        </is>
      </c>
      <c r="G166" t="inlineStr">
        <is>
          <t>SÄFFLE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39985-2025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45893</v>
      </c>
      <c r="E167" s="1" t="n">
        <v>46309</v>
      </c>
      <c r="F167" t="inlineStr">
        <is>
          <t>VÄRMLANDS LÄN</t>
        </is>
      </c>
      <c r="G167" t="inlineStr">
        <is>
          <t>SÄFFLE</t>
        </is>
      </c>
      <c r="I167" t="n">
        <v>5.4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39983-2025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45893</v>
      </c>
      <c r="E168" s="1" t="n">
        <v>46309</v>
      </c>
      <c r="F168" t="inlineStr">
        <is>
          <t>VÄRMLANDS LÄN</t>
        </is>
      </c>
      <c r="G168" t="inlineStr">
        <is>
          <t>SÄFFLE</t>
        </is>
      </c>
      <c r="I168" t="n">
        <v>6.5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39984-2025</t>
        </is>
      </c>
      <c r="B169" t="inlineStr">
        <is>
          <t>avverkningsanmälan</t>
        </is>
      </c>
      <c r="C169" t="inlineStr">
        <is>
          <t>Avverkning för att bevara och utveckla /försöksver</t>
        </is>
      </c>
      <c r="D169" s="1" t="n">
        <v>45893</v>
      </c>
      <c r="E169" s="1" t="n">
        <v>46309</v>
      </c>
      <c r="F169" t="inlineStr">
        <is>
          <t>VÄRMLANDS LÄN</t>
        </is>
      </c>
      <c r="G169" t="inlineStr">
        <is>
          <t>SÄFFLE</t>
        </is>
      </c>
      <c r="I169" t="n">
        <v>12.9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39986-2025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45893</v>
      </c>
      <c r="E170" s="1" t="n">
        <v>46309</v>
      </c>
      <c r="F170" t="inlineStr">
        <is>
          <t>VÄRMLANDS LÄN</t>
        </is>
      </c>
      <c r="G170" t="inlineStr">
        <is>
          <t>SÄFFLE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40319-2025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45895</v>
      </c>
      <c r="E171" s="1" t="n">
        <v>46309</v>
      </c>
      <c r="F171" t="inlineStr">
        <is>
          <t>VÄRMLANDS LÄN</t>
        </is>
      </c>
      <c r="G171" t="inlineStr">
        <is>
          <t>SÄFFLE</t>
        </is>
      </c>
      <c r="I171" t="n">
        <v>4.5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63673-2021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44509</v>
      </c>
      <c r="E172" s="1" t="n">
        <v>46309</v>
      </c>
      <c r="F172" t="inlineStr">
        <is>
          <t>VÄRMLANDS LÄN</t>
        </is>
      </c>
      <c r="G172" t="inlineStr">
        <is>
          <t>SÄFFLE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47992-2024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45589</v>
      </c>
      <c r="E173" s="1" t="n">
        <v>46309</v>
      </c>
      <c r="F173" t="inlineStr">
        <is>
          <t>VÄRMLANDS LÄN</t>
        </is>
      </c>
      <c r="G173" t="inlineStr">
        <is>
          <t>SÄFFLE</t>
        </is>
      </c>
      <c r="I173" t="n">
        <v>1.6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17772-2024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45418</v>
      </c>
      <c r="E174" s="1" t="n">
        <v>46309</v>
      </c>
      <c r="F174" t="inlineStr">
        <is>
          <t>VÄRMLANDS LÄN</t>
        </is>
      </c>
      <c r="G174" t="inlineStr">
        <is>
          <t>SÄFFLE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33672-2024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45520</v>
      </c>
      <c r="E175" s="1" t="n">
        <v>46309</v>
      </c>
      <c r="F175" t="inlineStr">
        <is>
          <t>VÄRMLANDS LÄN</t>
        </is>
      </c>
      <c r="G175" t="inlineStr">
        <is>
          <t>SÄFFLE</t>
        </is>
      </c>
      <c r="I175" t="n">
        <v>1.6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64803-2021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44512</v>
      </c>
      <c r="E176" s="1" t="n">
        <v>46309</v>
      </c>
      <c r="F176" t="inlineStr">
        <is>
          <t>VÄRMLANDS LÄN</t>
        </is>
      </c>
      <c r="G176" t="inlineStr">
        <is>
          <t>SÄFFLE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41125-2025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45898</v>
      </c>
      <c r="E177" s="1" t="n">
        <v>46309</v>
      </c>
      <c r="F177" t="inlineStr">
        <is>
          <t>VÄRMLANDS LÄN</t>
        </is>
      </c>
      <c r="G177" t="inlineStr">
        <is>
          <t>SÄFFLE</t>
        </is>
      </c>
      <c r="I177" t="n">
        <v>2.8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9252-2024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45358</v>
      </c>
      <c r="E178" s="1" t="n">
        <v>46309</v>
      </c>
      <c r="F178" t="inlineStr">
        <is>
          <t>VÄRMLANDS LÄN</t>
        </is>
      </c>
      <c r="G178" t="inlineStr">
        <is>
          <t>SÄFFLE</t>
        </is>
      </c>
      <c r="I178" t="n">
        <v>1.6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46575-2024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45582</v>
      </c>
      <c r="E179" s="1" t="n">
        <v>46309</v>
      </c>
      <c r="F179" t="inlineStr">
        <is>
          <t>VÄRMLANDS LÄN</t>
        </is>
      </c>
      <c r="G179" t="inlineStr">
        <is>
          <t>SÄFFLE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51640-2022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44872</v>
      </c>
      <c r="E180" s="1" t="n">
        <v>46309</v>
      </c>
      <c r="F180" t="inlineStr">
        <is>
          <t>VÄRMLANDS LÄN</t>
        </is>
      </c>
      <c r="G180" t="inlineStr">
        <is>
          <t>SÄFFLE</t>
        </is>
      </c>
      <c r="I180" t="n">
        <v>3.4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31199-2024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45503</v>
      </c>
      <c r="E181" s="1" t="n">
        <v>46309</v>
      </c>
      <c r="F181" t="inlineStr">
        <is>
          <t>VÄRMLANDS LÄN</t>
        </is>
      </c>
      <c r="G181" t="inlineStr">
        <is>
          <t>SÄFFLE</t>
        </is>
      </c>
      <c r="I181" t="n">
        <v>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53974-2024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45615</v>
      </c>
      <c r="E182" s="1" t="n">
        <v>46309</v>
      </c>
      <c r="F182" t="inlineStr">
        <is>
          <t>VÄRMLANDS LÄN</t>
        </is>
      </c>
      <c r="G182" t="inlineStr">
        <is>
          <t>SÄFFLE</t>
        </is>
      </c>
      <c r="I182" t="n">
        <v>4.6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41681-2025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45902</v>
      </c>
      <c r="E183" s="1" t="n">
        <v>46309</v>
      </c>
      <c r="F183" t="inlineStr">
        <is>
          <t>VÄRMLANDS LÄN</t>
        </is>
      </c>
      <c r="G183" t="inlineStr">
        <is>
          <t>SÄFFLE</t>
        </is>
      </c>
      <c r="I183" t="n">
        <v>4.8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57517-2024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45630</v>
      </c>
      <c r="E184" s="1" t="n">
        <v>46309</v>
      </c>
      <c r="F184" t="inlineStr">
        <is>
          <t>VÄRMLANDS LÄN</t>
        </is>
      </c>
      <c r="G184" t="inlineStr">
        <is>
          <t>SÄFFLE</t>
        </is>
      </c>
      <c r="I184" t="n">
        <v>4.2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32877-2024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45516</v>
      </c>
      <c r="E185" s="1" t="n">
        <v>46309</v>
      </c>
      <c r="F185" t="inlineStr">
        <is>
          <t>VÄRMLANDS LÄN</t>
        </is>
      </c>
      <c r="G185" t="inlineStr">
        <is>
          <t>SÄFFLE</t>
        </is>
      </c>
      <c r="I185" t="n">
        <v>10.2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26529-2025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45807</v>
      </c>
      <c r="E186" s="1" t="n">
        <v>46309</v>
      </c>
      <c r="F186" t="inlineStr">
        <is>
          <t>VÄRMLANDS LÄN</t>
        </is>
      </c>
      <c r="G186" t="inlineStr">
        <is>
          <t>SÄFFLE</t>
        </is>
      </c>
      <c r="I186" t="n">
        <v>0.7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39125-2025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45888</v>
      </c>
      <c r="E187" s="1" t="n">
        <v>46309</v>
      </c>
      <c r="F187" t="inlineStr">
        <is>
          <t>VÄRMLANDS LÄN</t>
        </is>
      </c>
      <c r="G187" t="inlineStr">
        <is>
          <t>SÄFFLE</t>
        </is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41542-2025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45901</v>
      </c>
      <c r="E188" s="1" t="n">
        <v>46309</v>
      </c>
      <c r="F188" t="inlineStr">
        <is>
          <t>VÄRMLANDS LÄN</t>
        </is>
      </c>
      <c r="G188" t="inlineStr">
        <is>
          <t>SÄFFLE</t>
        </is>
      </c>
      <c r="I188" t="n">
        <v>5.2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59312-2023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45253</v>
      </c>
      <c r="E189" s="1" t="n">
        <v>46309</v>
      </c>
      <c r="F189" t="inlineStr">
        <is>
          <t>VÄRMLANDS LÄN</t>
        </is>
      </c>
      <c r="G189" t="inlineStr">
        <is>
          <t>SÄFFLE</t>
        </is>
      </c>
      <c r="I189" t="n">
        <v>8.699999999999999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52026-2024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45607</v>
      </c>
      <c r="E190" s="1" t="n">
        <v>46309</v>
      </c>
      <c r="F190" t="inlineStr">
        <is>
          <t>VÄRMLANDS LÄN</t>
        </is>
      </c>
      <c r="G190" t="inlineStr">
        <is>
          <t>SÄFFLE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27129-2025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45811</v>
      </c>
      <c r="E191" s="1" t="n">
        <v>46309</v>
      </c>
      <c r="F191" t="inlineStr">
        <is>
          <t>VÄRMLANDS LÄN</t>
        </is>
      </c>
      <c r="G191" t="inlineStr">
        <is>
          <t>SÄFFLE</t>
        </is>
      </c>
      <c r="I191" t="n">
        <v>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26948-2025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45811</v>
      </c>
      <c r="E192" s="1" t="n">
        <v>46309</v>
      </c>
      <c r="F192" t="inlineStr">
        <is>
          <t>VÄRMLANDS LÄN</t>
        </is>
      </c>
      <c r="G192" t="inlineStr">
        <is>
          <t>SÄFFLE</t>
        </is>
      </c>
      <c r="H192" t="inlineStr">
        <is>
          <t>Bergvik skog väst AB</t>
        </is>
      </c>
      <c r="I192" t="n">
        <v>5.5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18174-2024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45420</v>
      </c>
      <c r="E193" s="1" t="n">
        <v>46309</v>
      </c>
      <c r="F193" t="inlineStr">
        <is>
          <t>VÄRMLANDS LÄN</t>
        </is>
      </c>
      <c r="G193" t="inlineStr">
        <is>
          <t>SÄFFLE</t>
        </is>
      </c>
      <c r="I193" t="n">
        <v>1.7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42533-2025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45904</v>
      </c>
      <c r="E194" s="1" t="n">
        <v>46309</v>
      </c>
      <c r="F194" t="inlineStr">
        <is>
          <t>VÄRMLANDS LÄN</t>
        </is>
      </c>
      <c r="G194" t="inlineStr">
        <is>
          <t>SÄFFLE</t>
        </is>
      </c>
      <c r="I194" t="n">
        <v>1.5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45138-2024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45575</v>
      </c>
      <c r="E195" s="1" t="n">
        <v>46309</v>
      </c>
      <c r="F195" t="inlineStr">
        <is>
          <t>VÄRMLANDS LÄN</t>
        </is>
      </c>
      <c r="G195" t="inlineStr">
        <is>
          <t>SÄFFLE</t>
        </is>
      </c>
      <c r="I195" t="n">
        <v>5.2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19385-2024</t>
        </is>
      </c>
      <c r="B196" t="inlineStr">
        <is>
          <t>avverkningsanmälan</t>
        </is>
      </c>
      <c r="C196" t="inlineStr">
        <is>
          <t>Avverkning för annat ändamål</t>
        </is>
      </c>
      <c r="D196" s="1" t="n">
        <v>45428</v>
      </c>
      <c r="E196" s="1" t="n">
        <v>46309</v>
      </c>
      <c r="F196" t="inlineStr">
        <is>
          <t>VÄRMLANDS LÄN</t>
        </is>
      </c>
      <c r="G196" t="inlineStr">
        <is>
          <t>SÄFFLE</t>
        </is>
      </c>
      <c r="I196" t="n">
        <v>1.4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19815-2025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45771</v>
      </c>
      <c r="E197" s="1" t="n">
        <v>46309</v>
      </c>
      <c r="F197" t="inlineStr">
        <is>
          <t>VÄRMLANDS LÄN</t>
        </is>
      </c>
      <c r="G197" t="inlineStr">
        <is>
          <t>SÄFFLE</t>
        </is>
      </c>
      <c r="I197" t="n">
        <v>7.2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27128-2025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45811</v>
      </c>
      <c r="E198" s="1" t="n">
        <v>46309</v>
      </c>
      <c r="F198" t="inlineStr">
        <is>
          <t>VÄRMLANDS LÄN</t>
        </is>
      </c>
      <c r="G198" t="inlineStr">
        <is>
          <t>SÄFFLE</t>
        </is>
      </c>
      <c r="I198" t="n">
        <v>0.6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17971-2024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45419</v>
      </c>
      <c r="E199" s="1" t="n">
        <v>46309</v>
      </c>
      <c r="F199" t="inlineStr">
        <is>
          <t>VÄRMLANDS LÄN</t>
        </is>
      </c>
      <c r="G199" t="inlineStr">
        <is>
          <t>SÄFFLE</t>
        </is>
      </c>
      <c r="I199" t="n">
        <v>1.3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12228-2025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45729</v>
      </c>
      <c r="E200" s="1" t="n">
        <v>46309</v>
      </c>
      <c r="F200" t="inlineStr">
        <is>
          <t>VÄRMLANDS LÄN</t>
        </is>
      </c>
      <c r="G200" t="inlineStr">
        <is>
          <t>SÄFFLE</t>
        </is>
      </c>
      <c r="H200" t="inlineStr">
        <is>
          <t>Bergvik skog väst AB</t>
        </is>
      </c>
      <c r="I200" t="n">
        <v>2.3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42208-2025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45904</v>
      </c>
      <c r="E201" s="1" t="n">
        <v>46309</v>
      </c>
      <c r="F201" t="inlineStr">
        <is>
          <t>VÄRMLANDS LÄN</t>
        </is>
      </c>
      <c r="G201" t="inlineStr">
        <is>
          <t>SÄFFLE</t>
        </is>
      </c>
      <c r="I201" t="n">
        <v>0.5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55-2022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44564</v>
      </c>
      <c r="E202" s="1" t="n">
        <v>46309</v>
      </c>
      <c r="F202" t="inlineStr">
        <is>
          <t>VÄRMLANDS LÄN</t>
        </is>
      </c>
      <c r="G202" t="inlineStr">
        <is>
          <t>SÄFFLE</t>
        </is>
      </c>
      <c r="I202" t="n">
        <v>1.7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11365-2023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44993</v>
      </c>
      <c r="E203" s="1" t="n">
        <v>46309</v>
      </c>
      <c r="F203" t="inlineStr">
        <is>
          <t>VÄRMLANDS LÄN</t>
        </is>
      </c>
      <c r="G203" t="inlineStr">
        <is>
          <t>SÄFFLE</t>
        </is>
      </c>
      <c r="I203" t="n">
        <v>1.7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41533-2025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45901</v>
      </c>
      <c r="E204" s="1" t="n">
        <v>46309</v>
      </c>
      <c r="F204" t="inlineStr">
        <is>
          <t>VÄRMLANDS LÄN</t>
        </is>
      </c>
      <c r="G204" t="inlineStr">
        <is>
          <t>SÄFFLE</t>
        </is>
      </c>
      <c r="I204" t="n">
        <v>2.7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27540-2025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45813</v>
      </c>
      <c r="E205" s="1" t="n">
        <v>46309</v>
      </c>
      <c r="F205" t="inlineStr">
        <is>
          <t>VÄRMLANDS LÄN</t>
        </is>
      </c>
      <c r="G205" t="inlineStr">
        <is>
          <t>SÄFFLE</t>
        </is>
      </c>
      <c r="I205" t="n">
        <v>1.3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58067-2024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45631</v>
      </c>
      <c r="E206" s="1" t="n">
        <v>46309</v>
      </c>
      <c r="F206" t="inlineStr">
        <is>
          <t>VÄRMLANDS LÄN</t>
        </is>
      </c>
      <c r="G206" t="inlineStr">
        <is>
          <t>SÄFFLE</t>
        </is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17431-2025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45757</v>
      </c>
      <c r="E207" s="1" t="n">
        <v>46309</v>
      </c>
      <c r="F207" t="inlineStr">
        <is>
          <t>VÄRMLANDS LÄN</t>
        </is>
      </c>
      <c r="G207" t="inlineStr">
        <is>
          <t>SÄFFLE</t>
        </is>
      </c>
      <c r="I207" t="n">
        <v>1.8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42696-2025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45908</v>
      </c>
      <c r="E208" s="1" t="n">
        <v>46309</v>
      </c>
      <c r="F208" t="inlineStr">
        <is>
          <t>VÄRMLANDS LÄN</t>
        </is>
      </c>
      <c r="G208" t="inlineStr">
        <is>
          <t>SÄFFLE</t>
        </is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28484-2025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45818</v>
      </c>
      <c r="E209" s="1" t="n">
        <v>46309</v>
      </c>
      <c r="F209" t="inlineStr">
        <is>
          <t>VÄRMLANDS LÄN</t>
        </is>
      </c>
      <c r="G209" t="inlineStr">
        <is>
          <t>SÄFFLE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19506-2023</t>
        </is>
      </c>
      <c r="B210" t="inlineStr">
        <is>
          <t>avverkningsanmälan</t>
        </is>
      </c>
      <c r="C210" t="inlineStr">
        <is>
          <t>Avverkning för annat ändamål</t>
        </is>
      </c>
      <c r="D210" s="1" t="n">
        <v>45050</v>
      </c>
      <c r="E210" s="1" t="n">
        <v>46309</v>
      </c>
      <c r="F210" t="inlineStr">
        <is>
          <t>VÄRMLANDS LÄN</t>
        </is>
      </c>
      <c r="G210" t="inlineStr">
        <is>
          <t>SÄFFLE</t>
        </is>
      </c>
      <c r="I210" t="n">
        <v>3.2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19508-2023</t>
        </is>
      </c>
      <c r="B211" t="inlineStr">
        <is>
          <t>avverkningsanmälan</t>
        </is>
      </c>
      <c r="C211" t="inlineStr">
        <is>
          <t>Avverkning för annat ändamål</t>
        </is>
      </c>
      <c r="D211" s="1" t="n">
        <v>45050</v>
      </c>
      <c r="E211" s="1" t="n">
        <v>46309</v>
      </c>
      <c r="F211" t="inlineStr">
        <is>
          <t>VÄRMLANDS LÄN</t>
        </is>
      </c>
      <c r="G211" t="inlineStr">
        <is>
          <t>SÄFFLE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55795-2024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45623</v>
      </c>
      <c r="E212" s="1" t="n">
        <v>46309</v>
      </c>
      <c r="F212" t="inlineStr">
        <is>
          <t>VÄRMLANDS LÄN</t>
        </is>
      </c>
      <c r="G212" t="inlineStr">
        <is>
          <t>SÄFFLE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61608-2024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45646</v>
      </c>
      <c r="E213" s="1" t="n">
        <v>46309</v>
      </c>
      <c r="F213" t="inlineStr">
        <is>
          <t>VÄRMLANDS LÄN</t>
        </is>
      </c>
      <c r="G213" t="inlineStr">
        <is>
          <t>SÄFFLE</t>
        </is>
      </c>
      <c r="I213" t="n">
        <v>2.9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18549-2025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45763</v>
      </c>
      <c r="E214" s="1" t="n">
        <v>46309</v>
      </c>
      <c r="F214" t="inlineStr">
        <is>
          <t>VÄRMLANDS LÄN</t>
        </is>
      </c>
      <c r="G214" t="inlineStr">
        <is>
          <t>SÄFFLE</t>
        </is>
      </c>
      <c r="I214" t="n">
        <v>1.4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34121-2024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45524</v>
      </c>
      <c r="E215" s="1" t="n">
        <v>46309</v>
      </c>
      <c r="F215" t="inlineStr">
        <is>
          <t>VÄRMLANDS LÄN</t>
        </is>
      </c>
      <c r="G215" t="inlineStr">
        <is>
          <t>SÄFFLE</t>
        </is>
      </c>
      <c r="I215" t="n">
        <v>2.6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18040-2025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45761</v>
      </c>
      <c r="E216" s="1" t="n">
        <v>46309</v>
      </c>
      <c r="F216" t="inlineStr">
        <is>
          <t>VÄRMLANDS LÄN</t>
        </is>
      </c>
      <c r="G216" t="inlineStr">
        <is>
          <t>SÄFFLE</t>
        </is>
      </c>
      <c r="I216" t="n">
        <v>1.4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43209-2025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45910</v>
      </c>
      <c r="E217" s="1" t="n">
        <v>46309</v>
      </c>
      <c r="F217" t="inlineStr">
        <is>
          <t>VÄRMLANDS LÄN</t>
        </is>
      </c>
      <c r="G217" t="inlineStr">
        <is>
          <t>SÄFFLE</t>
        </is>
      </c>
      <c r="I217" t="n">
        <v>1.9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43213-2025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45910</v>
      </c>
      <c r="E218" s="1" t="n">
        <v>46309</v>
      </c>
      <c r="F218" t="inlineStr">
        <is>
          <t>VÄRMLANDS LÄN</t>
        </is>
      </c>
      <c r="G218" t="inlineStr">
        <is>
          <t>SÄFFLE</t>
        </is>
      </c>
      <c r="I218" t="n">
        <v>0.7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61614-2024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45646</v>
      </c>
      <c r="E219" s="1" t="n">
        <v>46309</v>
      </c>
      <c r="F219" t="inlineStr">
        <is>
          <t>VÄRMLANDS LÄN</t>
        </is>
      </c>
      <c r="G219" t="inlineStr">
        <is>
          <t>SÄFFLE</t>
        </is>
      </c>
      <c r="I219" t="n">
        <v>2.1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27995-2025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45817</v>
      </c>
      <c r="E220" s="1" t="n">
        <v>46309</v>
      </c>
      <c r="F220" t="inlineStr">
        <is>
          <t>VÄRMLANDS LÄN</t>
        </is>
      </c>
      <c r="G220" t="inlineStr">
        <is>
          <t>SÄFFLE</t>
        </is>
      </c>
      <c r="I220" t="n">
        <v>3.6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43839-2025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45912</v>
      </c>
      <c r="E221" s="1" t="n">
        <v>46309</v>
      </c>
      <c r="F221" t="inlineStr">
        <is>
          <t>VÄRMLANDS LÄN</t>
        </is>
      </c>
      <c r="G221" t="inlineStr">
        <is>
          <t>SÄFFLE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35878-2023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45148</v>
      </c>
      <c r="E222" s="1" t="n">
        <v>46309</v>
      </c>
      <c r="F222" t="inlineStr">
        <is>
          <t>VÄRMLANDS LÄN</t>
        </is>
      </c>
      <c r="G222" t="inlineStr">
        <is>
          <t>SÄFFLE</t>
        </is>
      </c>
      <c r="I222" t="n">
        <v>1.8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43849-2025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45912</v>
      </c>
      <c r="E223" s="1" t="n">
        <v>46309</v>
      </c>
      <c r="F223" t="inlineStr">
        <is>
          <t>VÄRMLANDS LÄN</t>
        </is>
      </c>
      <c r="G223" t="inlineStr">
        <is>
          <t>SÄFFLE</t>
        </is>
      </c>
      <c r="I223" t="n">
        <v>0.9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31073-2023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45113</v>
      </c>
      <c r="E224" s="1" t="n">
        <v>46309</v>
      </c>
      <c r="F224" t="inlineStr">
        <is>
          <t>VÄRMLANDS LÄN</t>
        </is>
      </c>
      <c r="G224" t="inlineStr">
        <is>
          <t>SÄFFLE</t>
        </is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31081-2023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45113</v>
      </c>
      <c r="E225" s="1" t="n">
        <v>46309</v>
      </c>
      <c r="F225" t="inlineStr">
        <is>
          <t>VÄRMLANDS LÄN</t>
        </is>
      </c>
      <c r="G225" t="inlineStr">
        <is>
          <t>SÄFFLE</t>
        </is>
      </c>
      <c r="I225" t="n">
        <v>1.4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23055-2023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45075</v>
      </c>
      <c r="E226" s="1" t="n">
        <v>46309</v>
      </c>
      <c r="F226" t="inlineStr">
        <is>
          <t>VÄRMLANDS LÄN</t>
        </is>
      </c>
      <c r="G226" t="inlineStr">
        <is>
          <t>SÄFFLE</t>
        </is>
      </c>
      <c r="I226" t="n">
        <v>5.3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53112-2022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44876</v>
      </c>
      <c r="E227" s="1" t="n">
        <v>46309</v>
      </c>
      <c r="F227" t="inlineStr">
        <is>
          <t>VÄRMLANDS LÄN</t>
        </is>
      </c>
      <c r="G227" t="inlineStr">
        <is>
          <t>SÄFFLE</t>
        </is>
      </c>
      <c r="I227" t="n">
        <v>6.5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45647-2023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45194</v>
      </c>
      <c r="E228" s="1" t="n">
        <v>46309</v>
      </c>
      <c r="F228" t="inlineStr">
        <is>
          <t>VÄRMLANDS LÄN</t>
        </is>
      </c>
      <c r="G228" t="inlineStr">
        <is>
          <t>SÄFFLE</t>
        </is>
      </c>
      <c r="I228" t="n">
        <v>2.4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44038-2025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45915</v>
      </c>
      <c r="E229" s="1" t="n">
        <v>46309</v>
      </c>
      <c r="F229" t="inlineStr">
        <is>
          <t>VÄRMLANDS LÄN</t>
        </is>
      </c>
      <c r="G229" t="inlineStr">
        <is>
          <t>SÄFFLE</t>
        </is>
      </c>
      <c r="I229" t="n">
        <v>4.2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36231-2024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45534</v>
      </c>
      <c r="E230" s="1" t="n">
        <v>46309</v>
      </c>
      <c r="F230" t="inlineStr">
        <is>
          <t>VÄRMLANDS LÄN</t>
        </is>
      </c>
      <c r="G230" t="inlineStr">
        <is>
          <t>SÄFFLE</t>
        </is>
      </c>
      <c r="I230" t="n">
        <v>2.4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30387-2024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45491</v>
      </c>
      <c r="E231" s="1" t="n">
        <v>46309</v>
      </c>
      <c r="F231" t="inlineStr">
        <is>
          <t>VÄRMLANDS LÄN</t>
        </is>
      </c>
      <c r="G231" t="inlineStr">
        <is>
          <t>SÄFFLE</t>
        </is>
      </c>
      <c r="I231" t="n">
        <v>0.6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29593-2025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45825</v>
      </c>
      <c r="E232" s="1" t="n">
        <v>46309</v>
      </c>
      <c r="F232" t="inlineStr">
        <is>
          <t>VÄRMLANDS LÄN</t>
        </is>
      </c>
      <c r="G232" t="inlineStr">
        <is>
          <t>SÄFFLE</t>
        </is>
      </c>
      <c r="I232" t="n">
        <v>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38764-2024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45547</v>
      </c>
      <c r="E233" s="1" t="n">
        <v>46309</v>
      </c>
      <c r="F233" t="inlineStr">
        <is>
          <t>VÄRMLANDS LÄN</t>
        </is>
      </c>
      <c r="G233" t="inlineStr">
        <is>
          <t>SÄFFLE</t>
        </is>
      </c>
      <c r="I233" t="n">
        <v>1.9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30508-2025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45831</v>
      </c>
      <c r="E234" s="1" t="n">
        <v>46309</v>
      </c>
      <c r="F234" t="inlineStr">
        <is>
          <t>VÄRMLANDS LÄN</t>
        </is>
      </c>
      <c r="G234" t="inlineStr">
        <is>
          <t>SÄFFLE</t>
        </is>
      </c>
      <c r="I234" t="n">
        <v>3.5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30505-2025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45831</v>
      </c>
      <c r="E235" s="1" t="n">
        <v>46309</v>
      </c>
      <c r="F235" t="inlineStr">
        <is>
          <t>VÄRMLANDS LÄN</t>
        </is>
      </c>
      <c r="G235" t="inlineStr">
        <is>
          <t>SÄFFLE</t>
        </is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30506-2025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45831</v>
      </c>
      <c r="E236" s="1" t="n">
        <v>46309</v>
      </c>
      <c r="F236" t="inlineStr">
        <is>
          <t>VÄRMLANDS LÄN</t>
        </is>
      </c>
      <c r="G236" t="inlineStr">
        <is>
          <t>SÄFFLE</t>
        </is>
      </c>
      <c r="I236" t="n">
        <v>1.5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46150-2025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45924</v>
      </c>
      <c r="E237" s="1" t="n">
        <v>46309</v>
      </c>
      <c r="F237" t="inlineStr">
        <is>
          <t>VÄRMLANDS LÄN</t>
        </is>
      </c>
      <c r="G237" t="inlineStr">
        <is>
          <t>SÄFFLE</t>
        </is>
      </c>
      <c r="I237" t="n">
        <v>2.6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31245-2025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45832</v>
      </c>
      <c r="E238" s="1" t="n">
        <v>46309</v>
      </c>
      <c r="F238" t="inlineStr">
        <is>
          <t>VÄRMLANDS LÄN</t>
        </is>
      </c>
      <c r="G238" t="inlineStr">
        <is>
          <t>SÄFFLE</t>
        </is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46214-2025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45924</v>
      </c>
      <c r="E239" s="1" t="n">
        <v>46309</v>
      </c>
      <c r="F239" t="inlineStr">
        <is>
          <t>VÄRMLANDS LÄN</t>
        </is>
      </c>
      <c r="G239" t="inlineStr">
        <is>
          <t>SÄFFLE</t>
        </is>
      </c>
      <c r="I239" t="n">
        <v>1.5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46391-2025</t>
        </is>
      </c>
      <c r="B240" t="inlineStr">
        <is>
          <t>avverkningsanmälan</t>
        </is>
      </c>
      <c r="C240" t="inlineStr">
        <is>
          <t>Avverkning för annat ändamål</t>
        </is>
      </c>
      <c r="D240" s="1" t="n">
        <v>45925</v>
      </c>
      <c r="E240" s="1" t="n">
        <v>46309</v>
      </c>
      <c r="F240" t="inlineStr">
        <is>
          <t>VÄRMLANDS LÄN</t>
        </is>
      </c>
      <c r="G240" t="inlineStr">
        <is>
          <t>SÄFFLE</t>
        </is>
      </c>
      <c r="I240" t="n">
        <v>2.2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2582-2026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46037</v>
      </c>
      <c r="E241" s="1" t="n">
        <v>46309</v>
      </c>
      <c r="F241" t="inlineStr">
        <is>
          <t>VÄRMLANDS LÄN</t>
        </is>
      </c>
      <c r="G241" t="inlineStr">
        <is>
          <t>SÄFFLE</t>
        </is>
      </c>
      <c r="I241" t="n">
        <v>2.4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6959-2024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45343</v>
      </c>
      <c r="E242" s="1" t="n">
        <v>46309</v>
      </c>
      <c r="F242" t="inlineStr">
        <is>
          <t>VÄRMLANDS LÄN</t>
        </is>
      </c>
      <c r="G242" t="inlineStr">
        <is>
          <t>SÄFFLE</t>
        </is>
      </c>
      <c r="I242" t="n">
        <v>3.8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32162-2025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45835</v>
      </c>
      <c r="E243" s="1" t="n">
        <v>46309</v>
      </c>
      <c r="F243" t="inlineStr">
        <is>
          <t>VÄRMLANDS LÄN</t>
        </is>
      </c>
      <c r="G243" t="inlineStr">
        <is>
          <t>SÄFFLE</t>
        </is>
      </c>
      <c r="H243" t="inlineStr">
        <is>
          <t>Kyrkan</t>
        </is>
      </c>
      <c r="I243" t="n">
        <v>4.3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10875-2022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44627</v>
      </c>
      <c r="E244" s="1" t="n">
        <v>46309</v>
      </c>
      <c r="F244" t="inlineStr">
        <is>
          <t>VÄRMLANDS LÄN</t>
        </is>
      </c>
      <c r="G244" t="inlineStr">
        <is>
          <t>SÄFFLE</t>
        </is>
      </c>
      <c r="I244" t="n">
        <v>2.2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44973-2024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45575</v>
      </c>
      <c r="E245" s="1" t="n">
        <v>46309</v>
      </c>
      <c r="F245" t="inlineStr">
        <is>
          <t>VÄRMLANDS LÄN</t>
        </is>
      </c>
      <c r="G245" t="inlineStr">
        <is>
          <t>SÄFFLE</t>
        </is>
      </c>
      <c r="H245" t="inlineStr">
        <is>
          <t>Bergvik skog väst AB</t>
        </is>
      </c>
      <c r="I245" t="n">
        <v>0.6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54654-2024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45617</v>
      </c>
      <c r="E246" s="1" t="n">
        <v>46309</v>
      </c>
      <c r="F246" t="inlineStr">
        <is>
          <t>VÄRMLANDS LÄN</t>
        </is>
      </c>
      <c r="G246" t="inlineStr">
        <is>
          <t>SÄFFLE</t>
        </is>
      </c>
      <c r="I246" t="n">
        <v>0.7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47836-2025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45931</v>
      </c>
      <c r="E247" s="1" t="n">
        <v>46309</v>
      </c>
      <c r="F247" t="inlineStr">
        <is>
          <t>VÄRMLANDS LÄN</t>
        </is>
      </c>
      <c r="G247" t="inlineStr">
        <is>
          <t>SÄFFLE</t>
        </is>
      </c>
      <c r="I247" t="n">
        <v>2.1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33749-2025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45841</v>
      </c>
      <c r="E248" s="1" t="n">
        <v>46309</v>
      </c>
      <c r="F248" t="inlineStr">
        <is>
          <t>VÄRMLANDS LÄN</t>
        </is>
      </c>
      <c r="G248" t="inlineStr">
        <is>
          <t>SÄFFLE</t>
        </is>
      </c>
      <c r="I248" t="n">
        <v>0.8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33867-2025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45842</v>
      </c>
      <c r="E249" s="1" t="n">
        <v>46309</v>
      </c>
      <c r="F249" t="inlineStr">
        <is>
          <t>VÄRMLANDS LÄN</t>
        </is>
      </c>
      <c r="G249" t="inlineStr">
        <is>
          <t>SÄFFLE</t>
        </is>
      </c>
      <c r="I249" t="n">
        <v>1.3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2743-2022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44580</v>
      </c>
      <c r="E250" s="1" t="n">
        <v>46309</v>
      </c>
      <c r="F250" t="inlineStr">
        <is>
          <t>VÄRMLANDS LÄN</t>
        </is>
      </c>
      <c r="G250" t="inlineStr">
        <is>
          <t>SÄFFLE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31247-2025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45832</v>
      </c>
      <c r="E251" s="1" t="n">
        <v>46309</v>
      </c>
      <c r="F251" t="inlineStr">
        <is>
          <t>VÄRMLANDS LÄN</t>
        </is>
      </c>
      <c r="G251" t="inlineStr">
        <is>
          <t>SÄFFLE</t>
        </is>
      </c>
      <c r="I251" t="n">
        <v>11.5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14149-2025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45740</v>
      </c>
      <c r="E252" s="1" t="n">
        <v>46309</v>
      </c>
      <c r="F252" t="inlineStr">
        <is>
          <t>VÄRMLANDS LÄN</t>
        </is>
      </c>
      <c r="G252" t="inlineStr">
        <is>
          <t>SÄFFLE</t>
        </is>
      </c>
      <c r="H252" t="inlineStr">
        <is>
          <t>Bergvik skog väst AB</t>
        </is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23259-2022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44720</v>
      </c>
      <c r="E253" s="1" t="n">
        <v>46309</v>
      </c>
      <c r="F253" t="inlineStr">
        <is>
          <t>VÄRMLANDS LÄN</t>
        </is>
      </c>
      <c r="G253" t="inlineStr">
        <is>
          <t>SÄFFLE</t>
        </is>
      </c>
      <c r="I253" t="n">
        <v>0.9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53915-2023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45231</v>
      </c>
      <c r="E254" s="1" t="n">
        <v>46309</v>
      </c>
      <c r="F254" t="inlineStr">
        <is>
          <t>VÄRMLANDS LÄN</t>
        </is>
      </c>
      <c r="G254" t="inlineStr">
        <is>
          <t>SÄFFLE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55847-2023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45233</v>
      </c>
      <c r="E255" s="1" t="n">
        <v>46309</v>
      </c>
      <c r="F255" t="inlineStr">
        <is>
          <t>VÄRMLANDS LÄN</t>
        </is>
      </c>
      <c r="G255" t="inlineStr">
        <is>
          <t>SÄFFLE</t>
        </is>
      </c>
      <c r="I255" t="n">
        <v>2.1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9261-2024</t>
        </is>
      </c>
      <c r="B256" t="inlineStr">
        <is>
          <t>avverkningsanmälan</t>
        </is>
      </c>
      <c r="C256" t="inlineStr">
        <is>
          <t>Avverkning för annat ändamål</t>
        </is>
      </c>
      <c r="D256" s="1" t="n">
        <v>45358</v>
      </c>
      <c r="E256" s="1" t="n">
        <v>46309</v>
      </c>
      <c r="F256" t="inlineStr">
        <is>
          <t>VÄRMLANDS LÄN</t>
        </is>
      </c>
      <c r="G256" t="inlineStr">
        <is>
          <t>SÄFFLE</t>
        </is>
      </c>
      <c r="I256" t="n">
        <v>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27815-2023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45098</v>
      </c>
      <c r="E257" s="1" t="n">
        <v>46309</v>
      </c>
      <c r="F257" t="inlineStr">
        <is>
          <t>VÄRMLANDS LÄN</t>
        </is>
      </c>
      <c r="G257" t="inlineStr">
        <is>
          <t>SÄFFLE</t>
        </is>
      </c>
      <c r="I257" t="n">
        <v>3.5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14643-2023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45012</v>
      </c>
      <c r="E258" s="1" t="n">
        <v>46309</v>
      </c>
      <c r="F258" t="inlineStr">
        <is>
          <t>VÄRMLANDS LÄN</t>
        </is>
      </c>
      <c r="G258" t="inlineStr">
        <is>
          <t>SÄFFLE</t>
        </is>
      </c>
      <c r="I258" t="n">
        <v>2.4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34575-2025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45847</v>
      </c>
      <c r="E259" s="1" t="n">
        <v>46309</v>
      </c>
      <c r="F259" t="inlineStr">
        <is>
          <t>VÄRMLANDS LÄN</t>
        </is>
      </c>
      <c r="G259" t="inlineStr">
        <is>
          <t>SÄFFLE</t>
        </is>
      </c>
      <c r="I259" t="n">
        <v>0.7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34581-2025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45847</v>
      </c>
      <c r="E260" s="1" t="n">
        <v>46309</v>
      </c>
      <c r="F260" t="inlineStr">
        <is>
          <t>VÄRMLANDS LÄN</t>
        </is>
      </c>
      <c r="G260" t="inlineStr">
        <is>
          <t>SÄFFLE</t>
        </is>
      </c>
      <c r="I260" t="n">
        <v>3.9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34583-2025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45847</v>
      </c>
      <c r="E261" s="1" t="n">
        <v>46309</v>
      </c>
      <c r="F261" t="inlineStr">
        <is>
          <t>VÄRMLANDS LÄN</t>
        </is>
      </c>
      <c r="G261" t="inlineStr">
        <is>
          <t>SÄFFLE</t>
        </is>
      </c>
      <c r="I261" t="n">
        <v>2.7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34578-2025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45847</v>
      </c>
      <c r="E262" s="1" t="n">
        <v>46309</v>
      </c>
      <c r="F262" t="inlineStr">
        <is>
          <t>VÄRMLANDS LÄN</t>
        </is>
      </c>
      <c r="G262" t="inlineStr">
        <is>
          <t>SÄFFLE</t>
        </is>
      </c>
      <c r="I262" t="n">
        <v>1.3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49315-2025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45938</v>
      </c>
      <c r="E263" s="1" t="n">
        <v>46309</v>
      </c>
      <c r="F263" t="inlineStr">
        <is>
          <t>VÄRMLANDS LÄN</t>
        </is>
      </c>
      <c r="G263" t="inlineStr">
        <is>
          <t>SÄFFLE</t>
        </is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34580-2025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45847</v>
      </c>
      <c r="E264" s="1" t="n">
        <v>46309</v>
      </c>
      <c r="F264" t="inlineStr">
        <is>
          <t>VÄRMLANDS LÄN</t>
        </is>
      </c>
      <c r="G264" t="inlineStr">
        <is>
          <t>SÄFFLE</t>
        </is>
      </c>
      <c r="I264" t="n">
        <v>1.2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26611-2025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45808</v>
      </c>
      <c r="E265" s="1" t="n">
        <v>46309</v>
      </c>
      <c r="F265" t="inlineStr">
        <is>
          <t>VÄRMLANDS LÄN</t>
        </is>
      </c>
      <c r="G265" t="inlineStr">
        <is>
          <t>SÄFFLE</t>
        </is>
      </c>
      <c r="I265" t="n">
        <v>2.4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49117-2025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45937</v>
      </c>
      <c r="E266" s="1" t="n">
        <v>46309</v>
      </c>
      <c r="F266" t="inlineStr">
        <is>
          <t>VÄRMLANDS LÄN</t>
        </is>
      </c>
      <c r="G266" t="inlineStr">
        <is>
          <t>SÄFFLE</t>
        </is>
      </c>
      <c r="I266" t="n">
        <v>7.7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43766-2024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45569</v>
      </c>
      <c r="E267" s="1" t="n">
        <v>46309</v>
      </c>
      <c r="F267" t="inlineStr">
        <is>
          <t>VÄRMLANDS LÄN</t>
        </is>
      </c>
      <c r="G267" t="inlineStr">
        <is>
          <t>SÄFFLE</t>
        </is>
      </c>
      <c r="I267" t="n">
        <v>0.7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50089-2025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45943</v>
      </c>
      <c r="E268" s="1" t="n">
        <v>46309</v>
      </c>
      <c r="F268" t="inlineStr">
        <is>
          <t>VÄRMLANDS LÄN</t>
        </is>
      </c>
      <c r="G268" t="inlineStr">
        <is>
          <t>SÄFFLE</t>
        </is>
      </c>
      <c r="I268" t="n">
        <v>10.8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50399-2025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45944</v>
      </c>
      <c r="E269" s="1" t="n">
        <v>46309</v>
      </c>
      <c r="F269" t="inlineStr">
        <is>
          <t>VÄRMLANDS LÄN</t>
        </is>
      </c>
      <c r="G269" t="inlineStr">
        <is>
          <t>SÄFFLE</t>
        </is>
      </c>
      <c r="I269" t="n">
        <v>7.4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3209-2026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46041</v>
      </c>
      <c r="E270" s="1" t="n">
        <v>46309</v>
      </c>
      <c r="F270" t="inlineStr">
        <is>
          <t>VÄRMLANDS LÄN</t>
        </is>
      </c>
      <c r="G270" t="inlineStr">
        <is>
          <t>SÄFFLE</t>
        </is>
      </c>
      <c r="I270" t="n">
        <v>1.5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3206-2026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46041</v>
      </c>
      <c r="E271" s="1" t="n">
        <v>46309</v>
      </c>
      <c r="F271" t="inlineStr">
        <is>
          <t>VÄRMLANDS LÄN</t>
        </is>
      </c>
      <c r="G271" t="inlineStr">
        <is>
          <t>SÄFFLE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50652-2025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45945</v>
      </c>
      <c r="E272" s="1" t="n">
        <v>46309</v>
      </c>
      <c r="F272" t="inlineStr">
        <is>
          <t>VÄRMLANDS LÄN</t>
        </is>
      </c>
      <c r="G272" t="inlineStr">
        <is>
          <t>SÄFFLE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50776-2025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45946</v>
      </c>
      <c r="E273" s="1" t="n">
        <v>46309</v>
      </c>
      <c r="F273" t="inlineStr">
        <is>
          <t>VÄRMLANDS LÄN</t>
        </is>
      </c>
      <c r="G273" t="inlineStr">
        <is>
          <t>SÄFFLE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3769-2026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46043</v>
      </c>
      <c r="E274" s="1" t="n">
        <v>46309</v>
      </c>
      <c r="F274" t="inlineStr">
        <is>
          <t>VÄRMLANDS LÄN</t>
        </is>
      </c>
      <c r="G274" t="inlineStr">
        <is>
          <t>SÄFFLE</t>
        </is>
      </c>
      <c r="I274" t="n">
        <v>0.8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4924-2026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46046</v>
      </c>
      <c r="E275" s="1" t="n">
        <v>46309</v>
      </c>
      <c r="F275" t="inlineStr">
        <is>
          <t>VÄRMLANDS LÄN</t>
        </is>
      </c>
      <c r="G275" t="inlineStr">
        <is>
          <t>SÄFFLE</t>
        </is>
      </c>
      <c r="I275" t="n">
        <v>2.5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4420-2026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46045</v>
      </c>
      <c r="E276" s="1" t="n">
        <v>46309</v>
      </c>
      <c r="F276" t="inlineStr">
        <is>
          <t>VÄRMLANDS LÄN</t>
        </is>
      </c>
      <c r="G276" t="inlineStr">
        <is>
          <t>SÄFFLE</t>
        </is>
      </c>
      <c r="I276" t="n">
        <v>1.7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4925-2026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46046</v>
      </c>
      <c r="E277" s="1" t="n">
        <v>46309</v>
      </c>
      <c r="F277" t="inlineStr">
        <is>
          <t>VÄRMLANDS LÄN</t>
        </is>
      </c>
      <c r="G277" t="inlineStr">
        <is>
          <t>SÄFFLE</t>
        </is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51269-2025</t>
        </is>
      </c>
      <c r="B278" t="inlineStr">
        <is>
          <t>avverkningsanmälan</t>
        </is>
      </c>
      <c r="C278" t="inlineStr">
        <is>
          <t>Avverkning för annat ändamål</t>
        </is>
      </c>
      <c r="D278" s="1" t="n">
        <v>45949</v>
      </c>
      <c r="E278" s="1" t="n">
        <v>46309</v>
      </c>
      <c r="F278" t="inlineStr">
        <is>
          <t>VÄRMLANDS LÄN</t>
        </is>
      </c>
      <c r="G278" t="inlineStr">
        <is>
          <t>SÄFFLE</t>
        </is>
      </c>
      <c r="I278" t="n">
        <v>0.8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51388-2025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45950</v>
      </c>
      <c r="E279" s="1" t="n">
        <v>46309</v>
      </c>
      <c r="F279" t="inlineStr">
        <is>
          <t>VÄRMLANDS LÄN</t>
        </is>
      </c>
      <c r="G279" t="inlineStr">
        <is>
          <t>SÄFFLE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1783-2022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44574</v>
      </c>
      <c r="E280" s="1" t="n">
        <v>46309</v>
      </c>
      <c r="F280" t="inlineStr">
        <is>
          <t>VÄRMLANDS LÄN</t>
        </is>
      </c>
      <c r="G280" t="inlineStr">
        <is>
          <t>SÄFFLE</t>
        </is>
      </c>
      <c r="I280" t="n">
        <v>1.4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2484-2023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44943</v>
      </c>
      <c r="E281" s="1" t="n">
        <v>46309</v>
      </c>
      <c r="F281" t="inlineStr">
        <is>
          <t>VÄRMLANDS LÄN</t>
        </is>
      </c>
      <c r="G281" t="inlineStr">
        <is>
          <t>SÄFFLE</t>
        </is>
      </c>
      <c r="I281" t="n">
        <v>0.8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42377-2024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45564</v>
      </c>
      <c r="E282" s="1" t="n">
        <v>46309</v>
      </c>
      <c r="F282" t="inlineStr">
        <is>
          <t>VÄRMLANDS LÄN</t>
        </is>
      </c>
      <c r="G282" t="inlineStr">
        <is>
          <t>SÄFFLE</t>
        </is>
      </c>
      <c r="I282" t="n">
        <v>1.2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51593-2023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45222</v>
      </c>
      <c r="E283" s="1" t="n">
        <v>46309</v>
      </c>
      <c r="F283" t="inlineStr">
        <is>
          <t>VÄRMLANDS LÄN</t>
        </is>
      </c>
      <c r="G283" t="inlineStr">
        <is>
          <t>SÄFFLE</t>
        </is>
      </c>
      <c r="I283" t="n">
        <v>2.1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10028-2023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44985</v>
      </c>
      <c r="E284" s="1" t="n">
        <v>46309</v>
      </c>
      <c r="F284" t="inlineStr">
        <is>
          <t>VÄRMLANDS LÄN</t>
        </is>
      </c>
      <c r="G284" t="inlineStr">
        <is>
          <t>SÄFFLE</t>
        </is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4286-2026</t>
        </is>
      </c>
      <c r="B285" t="inlineStr">
        <is>
          <t>avverkningsanmälan</t>
        </is>
      </c>
      <c r="C285" t="inlineStr">
        <is>
          <t>Avverkning för annat ändamål</t>
        </is>
      </c>
      <c r="D285" s="1" t="n">
        <v>46045</v>
      </c>
      <c r="E285" s="1" t="n">
        <v>46309</v>
      </c>
      <c r="F285" t="inlineStr">
        <is>
          <t>VÄRMLANDS LÄN</t>
        </is>
      </c>
      <c r="G285" t="inlineStr">
        <is>
          <t>SÄFFLE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36899-2025</t>
        </is>
      </c>
      <c r="B286" t="inlineStr">
        <is>
          <t>avverkningsanmälan</t>
        </is>
      </c>
      <c r="C286" t="inlineStr">
        <is>
          <t>Avverkning för annat ändamål</t>
        </is>
      </c>
      <c r="D286" s="1" t="n">
        <v>45874</v>
      </c>
      <c r="E286" s="1" t="n">
        <v>46309</v>
      </c>
      <c r="F286" t="inlineStr">
        <is>
          <t>VÄRMLANDS LÄN</t>
        </is>
      </c>
      <c r="G286" t="inlineStr">
        <is>
          <t>SÄFFLE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37859-2025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45880</v>
      </c>
      <c r="E287" s="1" t="n">
        <v>46309</v>
      </c>
      <c r="F287" t="inlineStr">
        <is>
          <t>VÄRMLANDS LÄN</t>
        </is>
      </c>
      <c r="G287" t="inlineStr">
        <is>
          <t>SÄFFLE</t>
        </is>
      </c>
      <c r="I287" t="n">
        <v>2.6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36855-2025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45874</v>
      </c>
      <c r="E288" s="1" t="n">
        <v>46309</v>
      </c>
      <c r="F288" t="inlineStr">
        <is>
          <t>VÄRMLANDS LÄN</t>
        </is>
      </c>
      <c r="G288" t="inlineStr">
        <is>
          <t>SÄFFLE</t>
        </is>
      </c>
      <c r="I288" t="n">
        <v>2.8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15412-2022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44659</v>
      </c>
      <c r="E289" s="1" t="n">
        <v>46309</v>
      </c>
      <c r="F289" t="inlineStr">
        <is>
          <t>VÄRMLANDS LÄN</t>
        </is>
      </c>
      <c r="G289" t="inlineStr">
        <is>
          <t>SÄFFLE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17396-2022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44678</v>
      </c>
      <c r="E290" s="1" t="n">
        <v>46309</v>
      </c>
      <c r="F290" t="inlineStr">
        <is>
          <t>VÄRMLANDS LÄN</t>
        </is>
      </c>
      <c r="G290" t="inlineStr">
        <is>
          <t>SÄFFLE</t>
        </is>
      </c>
      <c r="I290" t="n">
        <v>2.2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4284-2026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46045</v>
      </c>
      <c r="E291" s="1" t="n">
        <v>46309</v>
      </c>
      <c r="F291" t="inlineStr">
        <is>
          <t>VÄRMLANDS LÄN</t>
        </is>
      </c>
      <c r="G291" t="inlineStr">
        <is>
          <t>SÄFFLE</t>
        </is>
      </c>
      <c r="I291" t="n">
        <v>0.5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36642-2025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45871</v>
      </c>
      <c r="E292" s="1" t="n">
        <v>46309</v>
      </c>
      <c r="F292" t="inlineStr">
        <is>
          <t>VÄRMLANDS LÄN</t>
        </is>
      </c>
      <c r="G292" t="inlineStr">
        <is>
          <t>SÄFFLE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36721-2024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45537</v>
      </c>
      <c r="E293" s="1" t="n">
        <v>46309</v>
      </c>
      <c r="F293" t="inlineStr">
        <is>
          <t>VÄRMLANDS LÄN</t>
        </is>
      </c>
      <c r="G293" t="inlineStr">
        <is>
          <t>SÄFFLE</t>
        </is>
      </c>
      <c r="I293" t="n">
        <v>1.3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8205-2025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45707</v>
      </c>
      <c r="E294" s="1" t="n">
        <v>46309</v>
      </c>
      <c r="F294" t="inlineStr">
        <is>
          <t>VÄRMLANDS LÄN</t>
        </is>
      </c>
      <c r="G294" t="inlineStr">
        <is>
          <t>SÄFFLE</t>
        </is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15333-2025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45746</v>
      </c>
      <c r="E295" s="1" t="n">
        <v>46309</v>
      </c>
      <c r="F295" t="inlineStr">
        <is>
          <t>VÄRMLANDS LÄN</t>
        </is>
      </c>
      <c r="G295" t="inlineStr">
        <is>
          <t>SÄFFLE</t>
        </is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2351-2024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45310</v>
      </c>
      <c r="E296" s="1" t="n">
        <v>46309</v>
      </c>
      <c r="F296" t="inlineStr">
        <is>
          <t>VÄRMLANDS LÄN</t>
        </is>
      </c>
      <c r="G296" t="inlineStr">
        <is>
          <t>SÄFFLE</t>
        </is>
      </c>
      <c r="I296" t="n">
        <v>3.2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19218-2025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45769</v>
      </c>
      <c r="E297" s="1" t="n">
        <v>46309</v>
      </c>
      <c r="F297" t="inlineStr">
        <is>
          <t>VÄRMLANDS LÄN</t>
        </is>
      </c>
      <c r="G297" t="inlineStr">
        <is>
          <t>SÄFFLE</t>
        </is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30808-2024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45497</v>
      </c>
      <c r="E298" s="1" t="n">
        <v>46309</v>
      </c>
      <c r="F298" t="inlineStr">
        <is>
          <t>VÄRMLANDS LÄN</t>
        </is>
      </c>
      <c r="G298" t="inlineStr">
        <is>
          <t>SÄFFLE</t>
        </is>
      </c>
      <c r="I298" t="n">
        <v>1.4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10240-2023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44980</v>
      </c>
      <c r="E299" s="1" t="n">
        <v>46309</v>
      </c>
      <c r="F299" t="inlineStr">
        <is>
          <t>VÄRMLANDS LÄN</t>
        </is>
      </c>
      <c r="G299" t="inlineStr">
        <is>
          <t>SÄFFLE</t>
        </is>
      </c>
      <c r="I299" t="n">
        <v>4.9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53888-2025</t>
        </is>
      </c>
      <c r="B300" t="inlineStr">
        <is>
          <t>avverkningsanmälan</t>
        </is>
      </c>
      <c r="C300" t="inlineStr">
        <is>
          <t>Avverkning för annat ändamål</t>
        </is>
      </c>
      <c r="D300" s="1" t="n">
        <v>45961</v>
      </c>
      <c r="E300" s="1" t="n">
        <v>46309</v>
      </c>
      <c r="F300" t="inlineStr">
        <is>
          <t>VÄRMLANDS LÄN</t>
        </is>
      </c>
      <c r="G300" t="inlineStr">
        <is>
          <t>SÄFFLE</t>
        </is>
      </c>
      <c r="I300" t="n">
        <v>5.4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27979-2022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44745</v>
      </c>
      <c r="E301" s="1" t="n">
        <v>46309</v>
      </c>
      <c r="F301" t="inlineStr">
        <is>
          <t>VÄRMLANDS LÄN</t>
        </is>
      </c>
      <c r="G301" t="inlineStr">
        <is>
          <t>SÄFFLE</t>
        </is>
      </c>
      <c r="I301" t="n">
        <v>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55616-2023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45238</v>
      </c>
      <c r="E302" s="1" t="n">
        <v>46309</v>
      </c>
      <c r="F302" t="inlineStr">
        <is>
          <t>VÄRMLANDS LÄN</t>
        </is>
      </c>
      <c r="G302" t="inlineStr">
        <is>
          <t>SÄFFLE</t>
        </is>
      </c>
      <c r="I302" t="n">
        <v>2.7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18700-2024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45426</v>
      </c>
      <c r="E303" s="1" t="n">
        <v>46309</v>
      </c>
      <c r="F303" t="inlineStr">
        <is>
          <t>VÄRMLANDS LÄN</t>
        </is>
      </c>
      <c r="G303" t="inlineStr">
        <is>
          <t>SÄFFLE</t>
        </is>
      </c>
      <c r="I303" t="n">
        <v>10.8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7410-2022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44606</v>
      </c>
      <c r="E304" s="1" t="n">
        <v>46309</v>
      </c>
      <c r="F304" t="inlineStr">
        <is>
          <t>VÄRMLANDS LÄN</t>
        </is>
      </c>
      <c r="G304" t="inlineStr">
        <is>
          <t>SÄFFLE</t>
        </is>
      </c>
      <c r="I304" t="n">
        <v>4.3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41368-2024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45559</v>
      </c>
      <c r="E305" s="1" t="n">
        <v>46309</v>
      </c>
      <c r="F305" t="inlineStr">
        <is>
          <t>VÄRMLANDS LÄN</t>
        </is>
      </c>
      <c r="G305" t="inlineStr">
        <is>
          <t>SÄFFLE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17505-2022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44679</v>
      </c>
      <c r="E306" s="1" t="n">
        <v>46309</v>
      </c>
      <c r="F306" t="inlineStr">
        <is>
          <t>VÄRMLANDS LÄN</t>
        </is>
      </c>
      <c r="G306" t="inlineStr">
        <is>
          <t>SÄFFLE</t>
        </is>
      </c>
      <c r="I306" t="n">
        <v>13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38448-2025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45883</v>
      </c>
      <c r="E307" s="1" t="n">
        <v>46309</v>
      </c>
      <c r="F307" t="inlineStr">
        <is>
          <t>VÄRMLANDS LÄN</t>
        </is>
      </c>
      <c r="G307" t="inlineStr">
        <is>
          <t>SÄFFLE</t>
        </is>
      </c>
      <c r="H307" t="inlineStr">
        <is>
          <t>Kyrkan</t>
        </is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37422-2023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45156</v>
      </c>
      <c r="E308" s="1" t="n">
        <v>46309</v>
      </c>
      <c r="F308" t="inlineStr">
        <is>
          <t>VÄRMLANDS LÄN</t>
        </is>
      </c>
      <c r="G308" t="inlineStr">
        <is>
          <t>SÄFFLE</t>
        </is>
      </c>
      <c r="I308" t="n">
        <v>0.8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14649-2024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45397</v>
      </c>
      <c r="E309" s="1" t="n">
        <v>46309</v>
      </c>
      <c r="F309" t="inlineStr">
        <is>
          <t>VÄRMLANDS LÄN</t>
        </is>
      </c>
      <c r="G309" t="inlineStr">
        <is>
          <t>SÄFFLE</t>
        </is>
      </c>
      <c r="I309" t="n">
        <v>4.4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40028-2023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45168</v>
      </c>
      <c r="E310" s="1" t="n">
        <v>46309</v>
      </c>
      <c r="F310" t="inlineStr">
        <is>
          <t>VÄRMLANDS LÄN</t>
        </is>
      </c>
      <c r="G310" t="inlineStr">
        <is>
          <t>SÄFFLE</t>
        </is>
      </c>
      <c r="I310" t="n">
        <v>6.2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27031-2023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45095</v>
      </c>
      <c r="E311" s="1" t="n">
        <v>46309</v>
      </c>
      <c r="F311" t="inlineStr">
        <is>
          <t>VÄRMLANDS LÄN</t>
        </is>
      </c>
      <c r="G311" t="inlineStr">
        <is>
          <t>SÄFFLE</t>
        </is>
      </c>
      <c r="I311" t="n">
        <v>1.5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11633-2023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44994</v>
      </c>
      <c r="E312" s="1" t="n">
        <v>46309</v>
      </c>
      <c r="F312" t="inlineStr">
        <is>
          <t>VÄRMLANDS LÄN</t>
        </is>
      </c>
      <c r="G312" t="inlineStr">
        <is>
          <t>SÄFFLE</t>
        </is>
      </c>
      <c r="I312" t="n">
        <v>0.5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51203-2024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45603</v>
      </c>
      <c r="E313" s="1" t="n">
        <v>46309</v>
      </c>
      <c r="F313" t="inlineStr">
        <is>
          <t>VÄRMLANDS LÄN</t>
        </is>
      </c>
      <c r="G313" t="inlineStr">
        <is>
          <t>SÄFFLE</t>
        </is>
      </c>
      <c r="I313" t="n">
        <v>0.6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6392-2026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46055</v>
      </c>
      <c r="E314" s="1" t="n">
        <v>46309</v>
      </c>
      <c r="F314" t="inlineStr">
        <is>
          <t>VÄRMLANDS LÄN</t>
        </is>
      </c>
      <c r="G314" t="inlineStr">
        <is>
          <t>SÄFFLE</t>
        </is>
      </c>
      <c r="I314" t="n">
        <v>6.6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57008-2025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45977</v>
      </c>
      <c r="E315" s="1" t="n">
        <v>46309</v>
      </c>
      <c r="F315" t="inlineStr">
        <is>
          <t>VÄRMLANDS LÄN</t>
        </is>
      </c>
      <c r="G315" t="inlineStr">
        <is>
          <t>SÄFFLE</t>
        </is>
      </c>
      <c r="I315" t="n">
        <v>1.7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21974-2023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45068</v>
      </c>
      <c r="E316" s="1" t="n">
        <v>46309</v>
      </c>
      <c r="F316" t="inlineStr">
        <is>
          <t>VÄRMLANDS LÄN</t>
        </is>
      </c>
      <c r="G316" t="inlineStr">
        <is>
          <t>SÄFFLE</t>
        </is>
      </c>
      <c r="I316" t="n">
        <v>11.8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56416-2025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45975</v>
      </c>
      <c r="E317" s="1" t="n">
        <v>46309</v>
      </c>
      <c r="F317" t="inlineStr">
        <is>
          <t>VÄRMLANDS LÄN</t>
        </is>
      </c>
      <c r="G317" t="inlineStr">
        <is>
          <t>SÄFFLE</t>
        </is>
      </c>
      <c r="I317" t="n">
        <v>4.3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6393-2026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46055</v>
      </c>
      <c r="E318" s="1" t="n">
        <v>46309</v>
      </c>
      <c r="F318" t="inlineStr">
        <is>
          <t>VÄRMLANDS LÄN</t>
        </is>
      </c>
      <c r="G318" t="inlineStr">
        <is>
          <t>SÄFFLE</t>
        </is>
      </c>
      <c r="I318" t="n">
        <v>1.5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58878-2021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44489</v>
      </c>
      <c r="E319" s="1" t="n">
        <v>46309</v>
      </c>
      <c r="F319" t="inlineStr">
        <is>
          <t>VÄRMLANDS LÄN</t>
        </is>
      </c>
      <c r="G319" t="inlineStr">
        <is>
          <t>SÄFFLE</t>
        </is>
      </c>
      <c r="I319" t="n">
        <v>6.6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56684-2025</t>
        </is>
      </c>
      <c r="B320" t="inlineStr">
        <is>
          <t>avverkningsanmälan</t>
        </is>
      </c>
      <c r="C320" t="inlineStr">
        <is>
          <t>Avverkning för annat ändamål</t>
        </is>
      </c>
      <c r="D320" s="1" t="n">
        <v>45975</v>
      </c>
      <c r="E320" s="1" t="n">
        <v>46309</v>
      </c>
      <c r="F320" t="inlineStr">
        <is>
          <t>VÄRMLANDS LÄN</t>
        </is>
      </c>
      <c r="G320" t="inlineStr">
        <is>
          <t>SÄFFLE</t>
        </is>
      </c>
      <c r="I320" t="n">
        <v>3.9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61940-2023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45266</v>
      </c>
      <c r="E321" s="1" t="n">
        <v>46309</v>
      </c>
      <c r="F321" t="inlineStr">
        <is>
          <t>VÄRMLANDS LÄN</t>
        </is>
      </c>
      <c r="G321" t="inlineStr">
        <is>
          <t>SÄFFLE</t>
        </is>
      </c>
      <c r="I321" t="n">
        <v>0.8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57346-2025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45980</v>
      </c>
      <c r="E322" s="1" t="n">
        <v>46309</v>
      </c>
      <c r="F322" t="inlineStr">
        <is>
          <t>VÄRMLANDS LÄN</t>
        </is>
      </c>
      <c r="G322" t="inlineStr">
        <is>
          <t>SÄFFLE</t>
        </is>
      </c>
      <c r="I322" t="n">
        <v>3.2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58085-2025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45982</v>
      </c>
      <c r="E323" s="1" t="n">
        <v>46309</v>
      </c>
      <c r="F323" t="inlineStr">
        <is>
          <t>VÄRMLANDS LÄN</t>
        </is>
      </c>
      <c r="G323" t="inlineStr">
        <is>
          <t>SÄFFLE</t>
        </is>
      </c>
      <c r="I323" t="n">
        <v>1.3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9888-2025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45716</v>
      </c>
      <c r="E324" s="1" t="n">
        <v>46309</v>
      </c>
      <c r="F324" t="inlineStr">
        <is>
          <t>VÄRMLANDS LÄN</t>
        </is>
      </c>
      <c r="G324" t="inlineStr">
        <is>
          <t>SÄFFLE</t>
        </is>
      </c>
      <c r="I324" t="n">
        <v>5.1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58106-2025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45982</v>
      </c>
      <c r="E325" s="1" t="n">
        <v>46309</v>
      </c>
      <c r="F325" t="inlineStr">
        <is>
          <t>VÄRMLANDS LÄN</t>
        </is>
      </c>
      <c r="G325" t="inlineStr">
        <is>
          <t>SÄFFLE</t>
        </is>
      </c>
      <c r="I325" t="n">
        <v>1.6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7191-2026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46058</v>
      </c>
      <c r="E326" s="1" t="n">
        <v>46309</v>
      </c>
      <c r="F326" t="inlineStr">
        <is>
          <t>VÄRMLANDS LÄN</t>
        </is>
      </c>
      <c r="G326" t="inlineStr">
        <is>
          <t>SÄFFLE</t>
        </is>
      </c>
      <c r="I326" t="n">
        <v>7.5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56506-2023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45237</v>
      </c>
      <c r="E327" s="1" t="n">
        <v>46309</v>
      </c>
      <c r="F327" t="inlineStr">
        <is>
          <t>VÄRMLANDS LÄN</t>
        </is>
      </c>
      <c r="G327" t="inlineStr">
        <is>
          <t>SÄFFLE</t>
        </is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58394-2025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45983</v>
      </c>
      <c r="E328" s="1" t="n">
        <v>46309</v>
      </c>
      <c r="F328" t="inlineStr">
        <is>
          <t>VÄRMLANDS LÄN</t>
        </is>
      </c>
      <c r="G328" t="inlineStr">
        <is>
          <t>SÄFFLE</t>
        </is>
      </c>
      <c r="I328" t="n">
        <v>2.2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59158-2025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45988</v>
      </c>
      <c r="E329" s="1" t="n">
        <v>46309</v>
      </c>
      <c r="F329" t="inlineStr">
        <is>
          <t>VÄRMLANDS LÄN</t>
        </is>
      </c>
      <c r="G329" t="inlineStr">
        <is>
          <t>SÄFFLE</t>
        </is>
      </c>
      <c r="I329" t="n">
        <v>1.2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59288-2025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45988</v>
      </c>
      <c r="E330" s="1" t="n">
        <v>46309</v>
      </c>
      <c r="F330" t="inlineStr">
        <is>
          <t>VÄRMLANDS LÄN</t>
        </is>
      </c>
      <c r="G330" t="inlineStr">
        <is>
          <t>SÄFFLE</t>
        </is>
      </c>
      <c r="I330" t="n">
        <v>7.2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7517-2026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46059</v>
      </c>
      <c r="E331" s="1" t="n">
        <v>46309</v>
      </c>
      <c r="F331" t="inlineStr">
        <is>
          <t>VÄRMLANDS LÄN</t>
        </is>
      </c>
      <c r="G331" t="inlineStr">
        <is>
          <t>SÄFFLE</t>
        </is>
      </c>
      <c r="I331" t="n">
        <v>6.4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59196-2025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45988</v>
      </c>
      <c r="E332" s="1" t="n">
        <v>46309</v>
      </c>
      <c r="F332" t="inlineStr">
        <is>
          <t>VÄRMLANDS LÄN</t>
        </is>
      </c>
      <c r="G332" t="inlineStr">
        <is>
          <t>SÄFFLE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13650-2023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45006</v>
      </c>
      <c r="E333" s="1" t="n">
        <v>46309</v>
      </c>
      <c r="F333" t="inlineStr">
        <is>
          <t>VÄRMLANDS LÄN</t>
        </is>
      </c>
      <c r="G333" t="inlineStr">
        <is>
          <t>SÄFFLE</t>
        </is>
      </c>
      <c r="I333" t="n">
        <v>3.1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59192-2025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45988</v>
      </c>
      <c r="E334" s="1" t="n">
        <v>46309</v>
      </c>
      <c r="F334" t="inlineStr">
        <is>
          <t>VÄRMLANDS LÄN</t>
        </is>
      </c>
      <c r="G334" t="inlineStr">
        <is>
          <t>SÄFFLE</t>
        </is>
      </c>
      <c r="I334" t="n">
        <v>0.8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59194-2025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45988</v>
      </c>
      <c r="E335" s="1" t="n">
        <v>46309</v>
      </c>
      <c r="F335" t="inlineStr">
        <is>
          <t>VÄRMLANDS LÄN</t>
        </is>
      </c>
      <c r="G335" t="inlineStr">
        <is>
          <t>SÄFFLE</t>
        </is>
      </c>
      <c r="I335" t="n">
        <v>1.3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60050-2025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45992</v>
      </c>
      <c r="E336" s="1" t="n">
        <v>46309</v>
      </c>
      <c r="F336" t="inlineStr">
        <is>
          <t>VÄRMLANDS LÄN</t>
        </is>
      </c>
      <c r="G336" t="inlineStr">
        <is>
          <t>SÄFFLE</t>
        </is>
      </c>
      <c r="I336" t="n">
        <v>2.1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59446-2025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45989</v>
      </c>
      <c r="E337" s="1" t="n">
        <v>46309</v>
      </c>
      <c r="F337" t="inlineStr">
        <is>
          <t>VÄRMLANDS LÄN</t>
        </is>
      </c>
      <c r="G337" t="inlineStr">
        <is>
          <t>SÄFFLE</t>
        </is>
      </c>
      <c r="I337" t="n">
        <v>2.8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59376-2025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45989</v>
      </c>
      <c r="E338" s="1" t="n">
        <v>46309</v>
      </c>
      <c r="F338" t="inlineStr">
        <is>
          <t>VÄRMLANDS LÄN</t>
        </is>
      </c>
      <c r="G338" t="inlineStr">
        <is>
          <t>SÄFFLE</t>
        </is>
      </c>
      <c r="I338" t="n">
        <v>2.6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8422-2026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46065</v>
      </c>
      <c r="E339" s="1" t="n">
        <v>46309</v>
      </c>
      <c r="F339" t="inlineStr">
        <is>
          <t>VÄRMLANDS LÄN</t>
        </is>
      </c>
      <c r="G339" t="inlineStr">
        <is>
          <t>SÄFFLE</t>
        </is>
      </c>
      <c r="I339" t="n">
        <v>3.1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59381-2025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45989</v>
      </c>
      <c r="E340" s="1" t="n">
        <v>46309</v>
      </c>
      <c r="F340" t="inlineStr">
        <is>
          <t>VÄRMLANDS LÄN</t>
        </is>
      </c>
      <c r="G340" t="inlineStr">
        <is>
          <t>SÄFFLE</t>
        </is>
      </c>
      <c r="I340" t="n">
        <v>7.2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43099-2024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45567</v>
      </c>
      <c r="E341" s="1" t="n">
        <v>46309</v>
      </c>
      <c r="F341" t="inlineStr">
        <is>
          <t>VÄRMLANDS LÄN</t>
        </is>
      </c>
      <c r="G341" t="inlineStr">
        <is>
          <t>SÄFFLE</t>
        </is>
      </c>
      <c r="I341" t="n">
        <v>0.8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60022-2025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45993</v>
      </c>
      <c r="E342" s="1" t="n">
        <v>46309</v>
      </c>
      <c r="F342" t="inlineStr">
        <is>
          <t>VÄRMLANDS LÄN</t>
        </is>
      </c>
      <c r="G342" t="inlineStr">
        <is>
          <t>SÄFFLE</t>
        </is>
      </c>
      <c r="I342" t="n">
        <v>1.7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59944-2025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45993</v>
      </c>
      <c r="E343" s="1" t="n">
        <v>46309</v>
      </c>
      <c r="F343" t="inlineStr">
        <is>
          <t>VÄRMLANDS LÄN</t>
        </is>
      </c>
      <c r="G343" t="inlineStr">
        <is>
          <t>SÄFFLE</t>
        </is>
      </c>
      <c r="I343" t="n">
        <v>2.3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60437-2025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45995</v>
      </c>
      <c r="E344" s="1" t="n">
        <v>46309</v>
      </c>
      <c r="F344" t="inlineStr">
        <is>
          <t>VÄRMLANDS LÄN</t>
        </is>
      </c>
      <c r="G344" t="inlineStr">
        <is>
          <t>SÄFFLE</t>
        </is>
      </c>
      <c r="I344" t="n">
        <v>1.7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27233-2024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45471</v>
      </c>
      <c r="E345" s="1" t="n">
        <v>46309</v>
      </c>
      <c r="F345" t="inlineStr">
        <is>
          <t>VÄRMLANDS LÄN</t>
        </is>
      </c>
      <c r="G345" t="inlineStr">
        <is>
          <t>SÄFFLE</t>
        </is>
      </c>
      <c r="I345" t="n">
        <v>4.2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60513-2025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45995</v>
      </c>
      <c r="E346" s="1" t="n">
        <v>46309</v>
      </c>
      <c r="F346" t="inlineStr">
        <is>
          <t>VÄRMLANDS LÄN</t>
        </is>
      </c>
      <c r="G346" t="inlineStr">
        <is>
          <t>SÄFFLE</t>
        </is>
      </c>
      <c r="I346" t="n">
        <v>3.3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9846-2026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46072</v>
      </c>
      <c r="E347" s="1" t="n">
        <v>46309</v>
      </c>
      <c r="F347" t="inlineStr">
        <is>
          <t>VÄRMLANDS LÄN</t>
        </is>
      </c>
      <c r="G347" t="inlineStr">
        <is>
          <t>SÄFFLE</t>
        </is>
      </c>
      <c r="I347" t="n">
        <v>6.6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44499-2023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45189</v>
      </c>
      <c r="E348" s="1" t="n">
        <v>46309</v>
      </c>
      <c r="F348" t="inlineStr">
        <is>
          <t>VÄRMLANDS LÄN</t>
        </is>
      </c>
      <c r="G348" t="inlineStr">
        <is>
          <t>SÄFFLE</t>
        </is>
      </c>
      <c r="I348" t="n">
        <v>3.6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63787-2021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44509</v>
      </c>
      <c r="E349" s="1" t="n">
        <v>46309</v>
      </c>
      <c r="F349" t="inlineStr">
        <is>
          <t>VÄRMLANDS LÄN</t>
        </is>
      </c>
      <c r="G349" t="inlineStr">
        <is>
          <t>SÄFFLE</t>
        </is>
      </c>
      <c r="I349" t="n">
        <v>4.9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11475-2023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44993</v>
      </c>
      <c r="E350" s="1" t="n">
        <v>46309</v>
      </c>
      <c r="F350" t="inlineStr">
        <is>
          <t>VÄRMLANDS LÄN</t>
        </is>
      </c>
      <c r="G350" t="inlineStr">
        <is>
          <t>SÄFFLE</t>
        </is>
      </c>
      <c r="I350" t="n">
        <v>7.6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9922-2026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46073</v>
      </c>
      <c r="E351" s="1" t="n">
        <v>46309</v>
      </c>
      <c r="F351" t="inlineStr">
        <is>
          <t>VÄRMLANDS LÄN</t>
        </is>
      </c>
      <c r="G351" t="inlineStr">
        <is>
          <t>SÄFFLE</t>
        </is>
      </c>
      <c r="I351" t="n">
        <v>12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8909-2023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44973</v>
      </c>
      <c r="E352" s="1" t="n">
        <v>46309</v>
      </c>
      <c r="F352" t="inlineStr">
        <is>
          <t>VÄRMLANDS LÄN</t>
        </is>
      </c>
      <c r="G352" t="inlineStr">
        <is>
          <t>SÄFFLE</t>
        </is>
      </c>
      <c r="I352" t="n">
        <v>4.2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59418-2025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45988</v>
      </c>
      <c r="E353" s="1" t="n">
        <v>46309</v>
      </c>
      <c r="F353" t="inlineStr">
        <is>
          <t>VÄRMLANDS LÄN</t>
        </is>
      </c>
      <c r="G353" t="inlineStr">
        <is>
          <t>SÄFFLE</t>
        </is>
      </c>
      <c r="I353" t="n">
        <v>0.9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59468-2025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45988</v>
      </c>
      <c r="E354" s="1" t="n">
        <v>46309</v>
      </c>
      <c r="F354" t="inlineStr">
        <is>
          <t>VÄRMLANDS LÄN</t>
        </is>
      </c>
      <c r="G354" t="inlineStr">
        <is>
          <t>SÄFFLE</t>
        </is>
      </c>
      <c r="I354" t="n">
        <v>7.9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62119-2025</t>
        </is>
      </c>
      <c r="B355" t="inlineStr">
        <is>
          <t>avverkningsanmälan</t>
        </is>
      </c>
      <c r="C355" t="inlineStr">
        <is>
          <t>Avverkning för annat ändamål</t>
        </is>
      </c>
      <c r="D355" s="1" t="n">
        <v>46006</v>
      </c>
      <c r="E355" s="1" t="n">
        <v>46309</v>
      </c>
      <c r="F355" t="inlineStr">
        <is>
          <t>VÄRMLANDS LÄN</t>
        </is>
      </c>
      <c r="G355" t="inlineStr">
        <is>
          <t>SÄFFLE</t>
        </is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59322-2025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45988</v>
      </c>
      <c r="E356" s="1" t="n">
        <v>46309</v>
      </c>
      <c r="F356" t="inlineStr">
        <is>
          <t>VÄRMLANDS LÄN</t>
        </is>
      </c>
      <c r="G356" t="inlineStr">
        <is>
          <t>SÄFFLE</t>
        </is>
      </c>
      <c r="I356" t="n">
        <v>11.1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59471-2025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45988</v>
      </c>
      <c r="E357" s="1" t="n">
        <v>46309</v>
      </c>
      <c r="F357" t="inlineStr">
        <is>
          <t>VÄRMLANDS LÄN</t>
        </is>
      </c>
      <c r="G357" t="inlineStr">
        <is>
          <t>SÄFFLE</t>
        </is>
      </c>
      <c r="I357" t="n">
        <v>1.9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11079-2026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46079</v>
      </c>
      <c r="E358" s="1" t="n">
        <v>46309</v>
      </c>
      <c r="F358" t="inlineStr">
        <is>
          <t>VÄRMLANDS LÄN</t>
        </is>
      </c>
      <c r="G358" t="inlineStr">
        <is>
          <t>SÄFFLE</t>
        </is>
      </c>
      <c r="I358" t="n">
        <v>5.3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11081-2026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46079</v>
      </c>
      <c r="E359" s="1" t="n">
        <v>46309</v>
      </c>
      <c r="F359" t="inlineStr">
        <is>
          <t>VÄRMLANDS LÄN</t>
        </is>
      </c>
      <c r="G359" t="inlineStr">
        <is>
          <t>SÄFFLE</t>
        </is>
      </c>
      <c r="I359" t="n">
        <v>1.6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10800-2026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46078</v>
      </c>
      <c r="E360" s="1" t="n">
        <v>46309</v>
      </c>
      <c r="F360" t="inlineStr">
        <is>
          <t>VÄRMLANDS LÄN</t>
        </is>
      </c>
      <c r="G360" t="inlineStr">
        <is>
          <t>SÄFFLE</t>
        </is>
      </c>
      <c r="I360" t="n">
        <v>0.7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11070-2026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46079</v>
      </c>
      <c r="E361" s="1" t="n">
        <v>46309</v>
      </c>
      <c r="F361" t="inlineStr">
        <is>
          <t>VÄRMLANDS LÄN</t>
        </is>
      </c>
      <c r="G361" t="inlineStr">
        <is>
          <t>SÄFFLE</t>
        </is>
      </c>
      <c r="I361" t="n">
        <v>4.2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11501-2026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46083</v>
      </c>
      <c r="E362" s="1" t="n">
        <v>46309</v>
      </c>
      <c r="F362" t="inlineStr">
        <is>
          <t>VÄRMLANDS LÄN</t>
        </is>
      </c>
      <c r="G362" t="inlineStr">
        <is>
          <t>SÄFFLE</t>
        </is>
      </c>
      <c r="I362" t="n">
        <v>5.8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11499-2026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46083</v>
      </c>
      <c r="E363" s="1" t="n">
        <v>46309</v>
      </c>
      <c r="F363" t="inlineStr">
        <is>
          <t>VÄRMLANDS LÄN</t>
        </is>
      </c>
      <c r="G363" t="inlineStr">
        <is>
          <t>SÄFFLE</t>
        </is>
      </c>
      <c r="I363" t="n">
        <v>1.8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62298-2023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45267</v>
      </c>
      <c r="E364" s="1" t="n">
        <v>46309</v>
      </c>
      <c r="F364" t="inlineStr">
        <is>
          <t>VÄRMLANDS LÄN</t>
        </is>
      </c>
      <c r="G364" t="inlineStr">
        <is>
          <t>SÄFFLE</t>
        </is>
      </c>
      <c r="I364" t="n">
        <v>1.6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2191-2025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45672</v>
      </c>
      <c r="E365" s="1" t="n">
        <v>46309</v>
      </c>
      <c r="F365" t="inlineStr">
        <is>
          <t>VÄRMLANDS LÄN</t>
        </is>
      </c>
      <c r="G365" t="inlineStr">
        <is>
          <t>SÄFFLE</t>
        </is>
      </c>
      <c r="I365" t="n">
        <v>46.5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63171-2025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46010</v>
      </c>
      <c r="E366" s="1" t="n">
        <v>46309</v>
      </c>
      <c r="F366" t="inlineStr">
        <is>
          <t>VÄRMLANDS LÄN</t>
        </is>
      </c>
      <c r="G366" t="inlineStr">
        <is>
          <t>SÄFFLE</t>
        </is>
      </c>
      <c r="I366" t="n">
        <v>7.6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11497-2026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46083</v>
      </c>
      <c r="E367" s="1" t="n">
        <v>46309</v>
      </c>
      <c r="F367" t="inlineStr">
        <is>
          <t>VÄRMLANDS LÄN</t>
        </is>
      </c>
      <c r="G367" t="inlineStr">
        <is>
          <t>SÄFFLE</t>
        </is>
      </c>
      <c r="I367" t="n">
        <v>7.9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11500-2026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46083</v>
      </c>
      <c r="E368" s="1" t="n">
        <v>46309</v>
      </c>
      <c r="F368" t="inlineStr">
        <is>
          <t>VÄRMLANDS LÄN</t>
        </is>
      </c>
      <c r="G368" t="inlineStr">
        <is>
          <t>SÄFFLE</t>
        </is>
      </c>
      <c r="I368" t="n">
        <v>0.5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11502-2026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46083</v>
      </c>
      <c r="E369" s="1" t="n">
        <v>46309</v>
      </c>
      <c r="F369" t="inlineStr">
        <is>
          <t>VÄRMLANDS LÄN</t>
        </is>
      </c>
      <c r="G369" t="inlineStr">
        <is>
          <t>SÄFFLE</t>
        </is>
      </c>
      <c r="I369" t="n">
        <v>1.2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5399-2026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46050</v>
      </c>
      <c r="E370" s="1" t="n">
        <v>46309</v>
      </c>
      <c r="F370" t="inlineStr">
        <is>
          <t>VÄRMLANDS LÄN</t>
        </is>
      </c>
      <c r="G370" t="inlineStr">
        <is>
          <t>SÄFFLE</t>
        </is>
      </c>
      <c r="I370" t="n">
        <v>5.1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6447-2025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45699</v>
      </c>
      <c r="E371" s="1" t="n">
        <v>46309</v>
      </c>
      <c r="F371" t="inlineStr">
        <is>
          <t>VÄRMLANDS LÄN</t>
        </is>
      </c>
      <c r="G371" t="inlineStr">
        <is>
          <t>SÄFFLE</t>
        </is>
      </c>
      <c r="H371" t="inlineStr">
        <is>
          <t>Bergvik skog väst AB</t>
        </is>
      </c>
      <c r="I371" t="n">
        <v>3.9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12268-2026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46087</v>
      </c>
      <c r="E372" s="1" t="n">
        <v>46309</v>
      </c>
      <c r="F372" t="inlineStr">
        <is>
          <t>VÄRMLANDS LÄN</t>
        </is>
      </c>
      <c r="G372" t="inlineStr">
        <is>
          <t>SÄFFLE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12273-2026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46087</v>
      </c>
      <c r="E373" s="1" t="n">
        <v>46309</v>
      </c>
      <c r="F373" t="inlineStr">
        <is>
          <t>VÄRMLANDS LÄN</t>
        </is>
      </c>
      <c r="G373" t="inlineStr">
        <is>
          <t>SÄFFLE</t>
        </is>
      </c>
      <c r="I373" t="n">
        <v>3.3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12259-2026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46087</v>
      </c>
      <c r="E374" s="1" t="n">
        <v>46309</v>
      </c>
      <c r="F374" t="inlineStr">
        <is>
          <t>VÄRMLANDS LÄN</t>
        </is>
      </c>
      <c r="G374" t="inlineStr">
        <is>
          <t>SÄFFLE</t>
        </is>
      </c>
      <c r="I374" t="n">
        <v>12.7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12187-2026</t>
        </is>
      </c>
      <c r="B375" t="inlineStr">
        <is>
          <t>avverkningsanmälan</t>
        </is>
      </c>
      <c r="C375" t="inlineStr">
        <is>
          <t>Avverkning för annat ändamål</t>
        </is>
      </c>
      <c r="D375" s="1" t="n">
        <v>46086</v>
      </c>
      <c r="E375" s="1" t="n">
        <v>46309</v>
      </c>
      <c r="F375" t="inlineStr">
        <is>
          <t>VÄRMLANDS LÄN</t>
        </is>
      </c>
      <c r="G375" t="inlineStr">
        <is>
          <t>SÄFFLE</t>
        </is>
      </c>
      <c r="I375" t="n">
        <v>9.1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59355-2025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45989</v>
      </c>
      <c r="E376" s="1" t="n">
        <v>46309</v>
      </c>
      <c r="F376" t="inlineStr">
        <is>
          <t>VÄRMLANDS LÄN</t>
        </is>
      </c>
      <c r="G376" t="inlineStr">
        <is>
          <t>SÄFFLE</t>
        </is>
      </c>
      <c r="I376" t="n">
        <v>2.1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44504-2023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45189</v>
      </c>
      <c r="E377" s="1" t="n">
        <v>46309</v>
      </c>
      <c r="F377" t="inlineStr">
        <is>
          <t>VÄRMLANDS LÄN</t>
        </is>
      </c>
      <c r="G377" t="inlineStr">
        <is>
          <t>SÄFFLE</t>
        </is>
      </c>
      <c r="I377" t="n">
        <v>2.3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13309-2023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45005</v>
      </c>
      <c r="E378" s="1" t="n">
        <v>46309</v>
      </c>
      <c r="F378" t="inlineStr">
        <is>
          <t>VÄRMLANDS LÄN</t>
        </is>
      </c>
      <c r="G378" t="inlineStr">
        <is>
          <t>SÄFFLE</t>
        </is>
      </c>
      <c r="I378" t="n">
        <v>3.5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12563-2026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46090</v>
      </c>
      <c r="E379" s="1" t="n">
        <v>46309</v>
      </c>
      <c r="F379" t="inlineStr">
        <is>
          <t>VÄRMLANDS LÄN</t>
        </is>
      </c>
      <c r="G379" t="inlineStr">
        <is>
          <t>SÄFFLE</t>
        </is>
      </c>
      <c r="I379" t="n">
        <v>2.3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31086-2023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45113</v>
      </c>
      <c r="E380" s="1" t="n">
        <v>46309</v>
      </c>
      <c r="F380" t="inlineStr">
        <is>
          <t>VÄRMLANDS LÄN</t>
        </is>
      </c>
      <c r="G380" t="inlineStr">
        <is>
          <t>SÄFFLE</t>
        </is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31089-2023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45113</v>
      </c>
      <c r="E381" s="1" t="n">
        <v>46309</v>
      </c>
      <c r="F381" t="inlineStr">
        <is>
          <t>VÄRMLANDS LÄN</t>
        </is>
      </c>
      <c r="G381" t="inlineStr">
        <is>
          <t>SÄFFLE</t>
        </is>
      </c>
      <c r="I381" t="n">
        <v>2.3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12461-2026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46090</v>
      </c>
      <c r="E382" s="1" t="n">
        <v>46309</v>
      </c>
      <c r="F382" t="inlineStr">
        <is>
          <t>VÄRMLANDS LÄN</t>
        </is>
      </c>
      <c r="G382" t="inlineStr">
        <is>
          <t>SÄFFLE</t>
        </is>
      </c>
      <c r="I382" t="n">
        <v>6.4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12473-2026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46090</v>
      </c>
      <c r="E383" s="1" t="n">
        <v>46309</v>
      </c>
      <c r="F383" t="inlineStr">
        <is>
          <t>VÄRMLANDS LÄN</t>
        </is>
      </c>
      <c r="G383" t="inlineStr">
        <is>
          <t>SÄFFLE</t>
        </is>
      </c>
      <c r="I383" t="n">
        <v>6.3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13127-2026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46093</v>
      </c>
      <c r="E384" s="1" t="n">
        <v>46309</v>
      </c>
      <c r="F384" t="inlineStr">
        <is>
          <t>VÄRMLANDS LÄN</t>
        </is>
      </c>
      <c r="G384" t="inlineStr">
        <is>
          <t>SÄFFLE</t>
        </is>
      </c>
      <c r="I384" t="n">
        <v>0.8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12987-2026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46092</v>
      </c>
      <c r="E385" s="1" t="n">
        <v>46309</v>
      </c>
      <c r="F385" t="inlineStr">
        <is>
          <t>VÄRMLANDS LÄN</t>
        </is>
      </c>
      <c r="G385" t="inlineStr">
        <is>
          <t>SÄFFLE</t>
        </is>
      </c>
      <c r="I385" t="n">
        <v>4.8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13051-2026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46093</v>
      </c>
      <c r="E386" s="1" t="n">
        <v>46309</v>
      </c>
      <c r="F386" t="inlineStr">
        <is>
          <t>VÄRMLANDS LÄN</t>
        </is>
      </c>
      <c r="G386" t="inlineStr">
        <is>
          <t>SÄFFLE</t>
        </is>
      </c>
      <c r="I386" t="n">
        <v>11.2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5271-2025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45692</v>
      </c>
      <c r="E387" s="1" t="n">
        <v>46309</v>
      </c>
      <c r="F387" t="inlineStr">
        <is>
          <t>VÄRMLANDS LÄN</t>
        </is>
      </c>
      <c r="G387" t="inlineStr">
        <is>
          <t>SÄFFLE</t>
        </is>
      </c>
      <c r="I387" t="n">
        <v>19.2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5272-2025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45692</v>
      </c>
      <c r="E388" s="1" t="n">
        <v>46309</v>
      </c>
      <c r="F388" t="inlineStr">
        <is>
          <t>VÄRMLANDS LÄN</t>
        </is>
      </c>
      <c r="G388" t="inlineStr">
        <is>
          <t>SÄFFLE</t>
        </is>
      </c>
      <c r="I388" t="n">
        <v>20.8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101-2022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44564</v>
      </c>
      <c r="E389" s="1" t="n">
        <v>46309</v>
      </c>
      <c r="F389" t="inlineStr">
        <is>
          <t>VÄRMLANDS LÄN</t>
        </is>
      </c>
      <c r="G389" t="inlineStr">
        <is>
          <t>SÄFFLE</t>
        </is>
      </c>
      <c r="I389" t="n">
        <v>2.5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13359-2026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46094</v>
      </c>
      <c r="E390" s="1" t="n">
        <v>46309</v>
      </c>
      <c r="F390" t="inlineStr">
        <is>
          <t>VÄRMLANDS LÄN</t>
        </is>
      </c>
      <c r="G390" t="inlineStr">
        <is>
          <t>SÄFFLE</t>
        </is>
      </c>
      <c r="I390" t="n">
        <v>1.4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14644-2023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45012</v>
      </c>
      <c r="E391" s="1" t="n">
        <v>46309</v>
      </c>
      <c r="F391" t="inlineStr">
        <is>
          <t>VÄRMLANDS LÄN</t>
        </is>
      </c>
      <c r="G391" t="inlineStr">
        <is>
          <t>SÄFFLE</t>
        </is>
      </c>
      <c r="I391" t="n">
        <v>1.3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15780-2023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45021</v>
      </c>
      <c r="E392" s="1" t="n">
        <v>46309</v>
      </c>
      <c r="F392" t="inlineStr">
        <is>
          <t>VÄRMLANDS LÄN</t>
        </is>
      </c>
      <c r="G392" t="inlineStr">
        <is>
          <t>SÄFFLE</t>
        </is>
      </c>
      <c r="I392" t="n">
        <v>6.3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2885-2025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45677</v>
      </c>
      <c r="E393" s="1" t="n">
        <v>46309</v>
      </c>
      <c r="F393" t="inlineStr">
        <is>
          <t>VÄRMLANDS LÄN</t>
        </is>
      </c>
      <c r="G393" t="inlineStr">
        <is>
          <t>SÄFFLE</t>
        </is>
      </c>
      <c r="I393" t="n">
        <v>6.8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14715-2026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46101</v>
      </c>
      <c r="E394" s="1" t="n">
        <v>46309</v>
      </c>
      <c r="F394" t="inlineStr">
        <is>
          <t>VÄRMLANDS LÄN</t>
        </is>
      </c>
      <c r="G394" t="inlineStr">
        <is>
          <t>SÄFFLE</t>
        </is>
      </c>
      <c r="I394" t="n">
        <v>2.1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14728-2026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46101</v>
      </c>
      <c r="E395" s="1" t="n">
        <v>46309</v>
      </c>
      <c r="F395" t="inlineStr">
        <is>
          <t>VÄRMLANDS LÄN</t>
        </is>
      </c>
      <c r="G395" t="inlineStr">
        <is>
          <t>SÄFFLE</t>
        </is>
      </c>
      <c r="I395" t="n">
        <v>4.1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20322-2025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45775</v>
      </c>
      <c r="E396" s="1" t="n">
        <v>46309</v>
      </c>
      <c r="F396" t="inlineStr">
        <is>
          <t>VÄRMLANDS LÄN</t>
        </is>
      </c>
      <c r="G396" t="inlineStr">
        <is>
          <t>SÄFFLE</t>
        </is>
      </c>
      <c r="I396" t="n">
        <v>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42067-2022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44830</v>
      </c>
      <c r="E397" s="1" t="n">
        <v>46309</v>
      </c>
      <c r="F397" t="inlineStr">
        <is>
          <t>VÄRMLANDS LÄN</t>
        </is>
      </c>
      <c r="G397" t="inlineStr">
        <is>
          <t>SÄFFLE</t>
        </is>
      </c>
      <c r="I397" t="n">
        <v>1.4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15234-2026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46105</v>
      </c>
      <c r="E398" s="1" t="n">
        <v>46309</v>
      </c>
      <c r="F398" t="inlineStr">
        <is>
          <t>VÄRMLANDS LÄN</t>
        </is>
      </c>
      <c r="G398" t="inlineStr">
        <is>
          <t>SÄFFLE</t>
        </is>
      </c>
      <c r="I398" t="n">
        <v>3.2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40808-2023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45171</v>
      </c>
      <c r="E399" s="1" t="n">
        <v>46309</v>
      </c>
      <c r="F399" t="inlineStr">
        <is>
          <t>VÄRMLANDS LÄN</t>
        </is>
      </c>
      <c r="G399" t="inlineStr">
        <is>
          <t>SÄFFLE</t>
        </is>
      </c>
      <c r="I399" t="n">
        <v>0.3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14994-2026</t>
        </is>
      </c>
      <c r="B400" t="inlineStr">
        <is>
          <t>avverkningsanmälan</t>
        </is>
      </c>
      <c r="C400" t="inlineStr">
        <is>
          <t>Avverkning för annat ändamål</t>
        </is>
      </c>
      <c r="D400" s="1" t="n">
        <v>46104</v>
      </c>
      <c r="E400" s="1" t="n">
        <v>46309</v>
      </c>
      <c r="F400" t="inlineStr">
        <is>
          <t>VÄRMLANDS LÄN</t>
        </is>
      </c>
      <c r="G400" t="inlineStr">
        <is>
          <t>SÄFFLE</t>
        </is>
      </c>
      <c r="I400" t="n">
        <v>0.6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53832-2022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44880</v>
      </c>
      <c r="E401" s="1" t="n">
        <v>46309</v>
      </c>
      <c r="F401" t="inlineStr">
        <is>
          <t>VÄRMLANDS LÄN</t>
        </is>
      </c>
      <c r="G401" t="inlineStr">
        <is>
          <t>SÄFFLE</t>
        </is>
      </c>
      <c r="I401" t="n">
        <v>4.9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59224-2021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44490</v>
      </c>
      <c r="E402" s="1" t="n">
        <v>46309</v>
      </c>
      <c r="F402" t="inlineStr">
        <is>
          <t>VÄRMLANDS LÄN</t>
        </is>
      </c>
      <c r="G402" t="inlineStr">
        <is>
          <t>SÄFFLE</t>
        </is>
      </c>
      <c r="I402" t="n">
        <v>2.8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8620-2025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45711</v>
      </c>
      <c r="E403" s="1" t="n">
        <v>46309</v>
      </c>
      <c r="F403" t="inlineStr">
        <is>
          <t>VÄRMLANDS LÄN</t>
        </is>
      </c>
      <c r="G403" t="inlineStr">
        <is>
          <t>SÄFFLE</t>
        </is>
      </c>
      <c r="I403" t="n">
        <v>4.4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2783-2025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45676</v>
      </c>
      <c r="E404" s="1" t="n">
        <v>46309</v>
      </c>
      <c r="F404" t="inlineStr">
        <is>
          <t>VÄRMLANDS LÄN</t>
        </is>
      </c>
      <c r="G404" t="inlineStr">
        <is>
          <t>SÄFFLE</t>
        </is>
      </c>
      <c r="I404" t="n">
        <v>1.5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15668-2026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46106</v>
      </c>
      <c r="E405" s="1" t="n">
        <v>46309</v>
      </c>
      <c r="F405" t="inlineStr">
        <is>
          <t>VÄRMLANDS LÄN</t>
        </is>
      </c>
      <c r="G405" t="inlineStr">
        <is>
          <t>SÄFFLE</t>
        </is>
      </c>
      <c r="I405" t="n">
        <v>1.6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16347-2026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46111</v>
      </c>
      <c r="E406" s="1" t="n">
        <v>46309</v>
      </c>
      <c r="F406" t="inlineStr">
        <is>
          <t>VÄRMLANDS LÄN</t>
        </is>
      </c>
      <c r="G406" t="inlineStr">
        <is>
          <t>SÄFFLE</t>
        </is>
      </c>
      <c r="H406" t="inlineStr">
        <is>
          <t>Kommuner</t>
        </is>
      </c>
      <c r="I406" t="n">
        <v>1.2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71292-2021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44538</v>
      </c>
      <c r="E407" s="1" t="n">
        <v>46309</v>
      </c>
      <c r="F407" t="inlineStr">
        <is>
          <t>VÄRMLANDS LÄN</t>
        </is>
      </c>
      <c r="G407" t="inlineStr">
        <is>
          <t>SÄFFLE</t>
        </is>
      </c>
      <c r="I407" t="n">
        <v>7.6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16337-2026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46111</v>
      </c>
      <c r="E408" s="1" t="n">
        <v>46309</v>
      </c>
      <c r="F408" t="inlineStr">
        <is>
          <t>VÄRMLANDS LÄN</t>
        </is>
      </c>
      <c r="G408" t="inlineStr">
        <is>
          <t>SÄFFLE</t>
        </is>
      </c>
      <c r="H408" t="inlineStr">
        <is>
          <t>Kommuner</t>
        </is>
      </c>
      <c r="I408" t="n">
        <v>1.3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47037-2024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45586</v>
      </c>
      <c r="E409" s="1" t="n">
        <v>46309</v>
      </c>
      <c r="F409" t="inlineStr">
        <is>
          <t>VÄRMLANDS LÄN</t>
        </is>
      </c>
      <c r="G409" t="inlineStr">
        <is>
          <t>SÄFFLE</t>
        </is>
      </c>
      <c r="I409" t="n">
        <v>2.4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59438-2023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45253</v>
      </c>
      <c r="E410" s="1" t="n">
        <v>46309</v>
      </c>
      <c r="F410" t="inlineStr">
        <is>
          <t>VÄRMLANDS LÄN</t>
        </is>
      </c>
      <c r="G410" t="inlineStr">
        <is>
          <t>SÄFFLE</t>
        </is>
      </c>
      <c r="I410" t="n">
        <v>19.9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34548-2024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45525</v>
      </c>
      <c r="E411" s="1" t="n">
        <v>46309</v>
      </c>
      <c r="F411" t="inlineStr">
        <is>
          <t>VÄRMLANDS LÄN</t>
        </is>
      </c>
      <c r="G411" t="inlineStr">
        <is>
          <t>SÄFFLE</t>
        </is>
      </c>
      <c r="I411" t="n">
        <v>4.3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16066-2026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46108</v>
      </c>
      <c r="E412" s="1" t="n">
        <v>46309</v>
      </c>
      <c r="F412" t="inlineStr">
        <is>
          <t>VÄRMLANDS LÄN</t>
        </is>
      </c>
      <c r="G412" t="inlineStr">
        <is>
          <t>SÄFFLE</t>
        </is>
      </c>
      <c r="I412" t="n">
        <v>1.1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10223-2025</t>
        </is>
      </c>
      <c r="B413" t="inlineStr">
        <is>
          <t>avverkningsanmälan</t>
        </is>
      </c>
      <c r="C413" t="inlineStr">
        <is>
          <t>Avverkning för annat ändamål</t>
        </is>
      </c>
      <c r="D413" s="1" t="n">
        <v>45720</v>
      </c>
      <c r="E413" s="1" t="n">
        <v>46309</v>
      </c>
      <c r="F413" t="inlineStr">
        <is>
          <t>VÄRMLANDS LÄN</t>
        </is>
      </c>
      <c r="G413" t="inlineStr">
        <is>
          <t>SÄFFLE</t>
        </is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11245-2022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44629</v>
      </c>
      <c r="E414" s="1" t="n">
        <v>46309</v>
      </c>
      <c r="F414" t="inlineStr">
        <is>
          <t>VÄRMLANDS LÄN</t>
        </is>
      </c>
      <c r="G414" t="inlineStr">
        <is>
          <t>SÄFFLE</t>
        </is>
      </c>
      <c r="I414" t="n">
        <v>2.2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45236-2023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45191</v>
      </c>
      <c r="E415" s="1" t="n">
        <v>46309</v>
      </c>
      <c r="F415" t="inlineStr">
        <is>
          <t>VÄRMLANDS LÄN</t>
        </is>
      </c>
      <c r="G415" t="inlineStr">
        <is>
          <t>SÄFFLE</t>
        </is>
      </c>
      <c r="I415" t="n">
        <v>1.3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25561-2023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45082</v>
      </c>
      <c r="E416" s="1" t="n">
        <v>46309</v>
      </c>
      <c r="F416" t="inlineStr">
        <is>
          <t>VÄRMLANDS LÄN</t>
        </is>
      </c>
      <c r="G416" t="inlineStr">
        <is>
          <t>SÄFFLE</t>
        </is>
      </c>
      <c r="I416" t="n">
        <v>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53533-2024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45611</v>
      </c>
      <c r="E417" s="1" t="n">
        <v>46309</v>
      </c>
      <c r="F417" t="inlineStr">
        <is>
          <t>VÄRMLANDS LÄN</t>
        </is>
      </c>
      <c r="G417" t="inlineStr">
        <is>
          <t>SÄFFLE</t>
        </is>
      </c>
      <c r="I417" t="n">
        <v>1.3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58116-2023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45249</v>
      </c>
      <c r="E418" s="1" t="n">
        <v>46309</v>
      </c>
      <c r="F418" t="inlineStr">
        <is>
          <t>VÄRMLANDS LÄN</t>
        </is>
      </c>
      <c r="G418" t="inlineStr">
        <is>
          <t>SÄFFLE</t>
        </is>
      </c>
      <c r="I418" t="n">
        <v>4.2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10597-2025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45721</v>
      </c>
      <c r="E419" s="1" t="n">
        <v>46309</v>
      </c>
      <c r="F419" t="inlineStr">
        <is>
          <t>VÄRMLANDS LÄN</t>
        </is>
      </c>
      <c r="G419" t="inlineStr">
        <is>
          <t>SÄFFLE</t>
        </is>
      </c>
      <c r="I419" t="n">
        <v>1.8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38291-2022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44812</v>
      </c>
      <c r="E420" s="1" t="n">
        <v>46309</v>
      </c>
      <c r="F420" t="inlineStr">
        <is>
          <t>VÄRMLANDS LÄN</t>
        </is>
      </c>
      <c r="G420" t="inlineStr">
        <is>
          <t>SÄFFLE</t>
        </is>
      </c>
      <c r="I420" t="n">
        <v>2.8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17332-2026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46119</v>
      </c>
      <c r="E421" s="1" t="n">
        <v>46309</v>
      </c>
      <c r="F421" t="inlineStr">
        <is>
          <t>VÄRMLANDS LÄN</t>
        </is>
      </c>
      <c r="G421" t="inlineStr">
        <is>
          <t>SÄFFLE</t>
        </is>
      </c>
      <c r="I421" t="n">
        <v>0.6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17258-2026</t>
        </is>
      </c>
      <c r="B422" t="inlineStr">
        <is>
          <t>avverkningsanmälan</t>
        </is>
      </c>
      <c r="C422" t="inlineStr">
        <is>
          <t>Avverkning för annat ändamål</t>
        </is>
      </c>
      <c r="D422" s="1" t="n">
        <v>46119</v>
      </c>
      <c r="E422" s="1" t="n">
        <v>46309</v>
      </c>
      <c r="F422" t="inlineStr">
        <is>
          <t>VÄRMLANDS LÄN</t>
        </is>
      </c>
      <c r="G422" t="inlineStr">
        <is>
          <t>SÄFFLE</t>
        </is>
      </c>
      <c r="I422" t="n">
        <v>0.3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17880-2026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46122</v>
      </c>
      <c r="E423" s="1" t="n">
        <v>46309</v>
      </c>
      <c r="F423" t="inlineStr">
        <is>
          <t>VÄRMLANDS LÄN</t>
        </is>
      </c>
      <c r="G423" t="inlineStr">
        <is>
          <t>SÄFFLE</t>
        </is>
      </c>
      <c r="I423" t="n">
        <v>0.7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54429-2023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45226</v>
      </c>
      <c r="E424" s="1" t="n">
        <v>46309</v>
      </c>
      <c r="F424" t="inlineStr">
        <is>
          <t>VÄRMLANDS LÄN</t>
        </is>
      </c>
      <c r="G424" t="inlineStr">
        <is>
          <t>SÄFFLE</t>
        </is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38534-2022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44813</v>
      </c>
      <c r="E425" s="1" t="n">
        <v>46309</v>
      </c>
      <c r="F425" t="inlineStr">
        <is>
          <t>VÄRMLANDS LÄN</t>
        </is>
      </c>
      <c r="G425" t="inlineStr">
        <is>
          <t>SÄFFLE</t>
        </is>
      </c>
      <c r="I425" t="n">
        <v>3.1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1329-2023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44936</v>
      </c>
      <c r="E426" s="1" t="n">
        <v>46309</v>
      </c>
      <c r="F426" t="inlineStr">
        <is>
          <t>VÄRMLANDS LÄN</t>
        </is>
      </c>
      <c r="G426" t="inlineStr">
        <is>
          <t>SÄFFLE</t>
        </is>
      </c>
      <c r="I426" t="n">
        <v>5.4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53303-2023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45229</v>
      </c>
      <c r="E427" s="1" t="n">
        <v>46309</v>
      </c>
      <c r="F427" t="inlineStr">
        <is>
          <t>VÄRMLANDS LÄN</t>
        </is>
      </c>
      <c r="G427" t="inlineStr">
        <is>
          <t>SÄFFLE</t>
        </is>
      </c>
      <c r="I427" t="n">
        <v>1.8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54126-2022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44881</v>
      </c>
      <c r="E428" s="1" t="n">
        <v>46309</v>
      </c>
      <c r="F428" t="inlineStr">
        <is>
          <t>VÄRMLANDS LÄN</t>
        </is>
      </c>
      <c r="G428" t="inlineStr">
        <is>
          <t>SÄFFLE</t>
        </is>
      </c>
      <c r="H428" t="inlineStr">
        <is>
          <t>Kyrkan</t>
        </is>
      </c>
      <c r="I428" t="n">
        <v>1.4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19869-2025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45771</v>
      </c>
      <c r="E429" s="1" t="n">
        <v>46309</v>
      </c>
      <c r="F429" t="inlineStr">
        <is>
          <t>VÄRMLANDS LÄN</t>
        </is>
      </c>
      <c r="G429" t="inlineStr">
        <is>
          <t>SÄFFLE</t>
        </is>
      </c>
      <c r="I429" t="n">
        <v>1.1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53788-2022</t>
        </is>
      </c>
      <c r="B430" t="inlineStr">
        <is>
          <t>avverkningsanmälan</t>
        </is>
      </c>
      <c r="C430" t="inlineStr">
        <is>
          <t>Avverkning för annat ändamål</t>
        </is>
      </c>
      <c r="D430" s="1" t="n">
        <v>44880</v>
      </c>
      <c r="E430" s="1" t="n">
        <v>46309</v>
      </c>
      <c r="F430" t="inlineStr">
        <is>
          <t>VÄRMLANDS LÄN</t>
        </is>
      </c>
      <c r="G430" t="inlineStr">
        <is>
          <t>SÄFFLE</t>
        </is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53378-2024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45609</v>
      </c>
      <c r="E431" s="1" t="n">
        <v>46309</v>
      </c>
      <c r="F431" t="inlineStr">
        <is>
          <t>VÄRMLANDS LÄN</t>
        </is>
      </c>
      <c r="G431" t="inlineStr">
        <is>
          <t>SÄFFLE</t>
        </is>
      </c>
      <c r="I431" t="n">
        <v>2.2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25142-2023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45078</v>
      </c>
      <c r="E432" s="1" t="n">
        <v>46309</v>
      </c>
      <c r="F432" t="inlineStr">
        <is>
          <t>VÄRMLANDS LÄN</t>
        </is>
      </c>
      <c r="G432" t="inlineStr">
        <is>
          <t>SÄFFLE</t>
        </is>
      </c>
      <c r="I432" t="n">
        <v>5.4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15501-2025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45747</v>
      </c>
      <c r="E433" s="1" t="n">
        <v>46309</v>
      </c>
      <c r="F433" t="inlineStr">
        <is>
          <t>VÄRMLANDS LÄN</t>
        </is>
      </c>
      <c r="G433" t="inlineStr">
        <is>
          <t>SÄFFLE</t>
        </is>
      </c>
      <c r="I433" t="n">
        <v>2.2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25659-2023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45089</v>
      </c>
      <c r="E434" s="1" t="n">
        <v>46309</v>
      </c>
      <c r="F434" t="inlineStr">
        <is>
          <t>VÄRMLANDS LÄN</t>
        </is>
      </c>
      <c r="G434" t="inlineStr">
        <is>
          <t>SÄFFLE</t>
        </is>
      </c>
      <c r="I434" t="n">
        <v>1.6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19578-2026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46134</v>
      </c>
      <c r="E435" s="1" t="n">
        <v>46309</v>
      </c>
      <c r="F435" t="inlineStr">
        <is>
          <t>VÄRMLANDS LÄN</t>
        </is>
      </c>
      <c r="G435" t="inlineStr">
        <is>
          <t>SÄFFLE</t>
        </is>
      </c>
      <c r="I435" t="n">
        <v>3.1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19547-2026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46134</v>
      </c>
      <c r="E436" s="1" t="n">
        <v>46309</v>
      </c>
      <c r="F436" t="inlineStr">
        <is>
          <t>VÄRMLANDS LÄN</t>
        </is>
      </c>
      <c r="G436" t="inlineStr">
        <is>
          <t>SÄFFLE</t>
        </is>
      </c>
      <c r="I436" t="n">
        <v>2.1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58070-2021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44487</v>
      </c>
      <c r="E437" s="1" t="n">
        <v>46309</v>
      </c>
      <c r="F437" t="inlineStr">
        <is>
          <t>VÄRMLANDS LÄN</t>
        </is>
      </c>
      <c r="G437" t="inlineStr">
        <is>
          <t>SÄFFLE</t>
        </is>
      </c>
      <c r="I437" t="n">
        <v>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14197-2025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45740</v>
      </c>
      <c r="E438" s="1" t="n">
        <v>46309</v>
      </c>
      <c r="F438" t="inlineStr">
        <is>
          <t>VÄRMLANDS LÄN</t>
        </is>
      </c>
      <c r="G438" t="inlineStr">
        <is>
          <t>SÄFFLE</t>
        </is>
      </c>
      <c r="H438" t="inlineStr">
        <is>
          <t>Bergvik skog väst AB</t>
        </is>
      </c>
      <c r="I438" t="n">
        <v>1.3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63781-2023</t>
        </is>
      </c>
      <c r="B439" t="inlineStr">
        <is>
          <t>avverkningsanmälan</t>
        </is>
      </c>
      <c r="C439" t="inlineStr">
        <is>
          <t>Avverkning för annat ändamål</t>
        </is>
      </c>
      <c r="D439" s="1" t="n">
        <v>45278</v>
      </c>
      <c r="E439" s="1" t="n">
        <v>46309</v>
      </c>
      <c r="F439" t="inlineStr">
        <is>
          <t>VÄRMLANDS LÄN</t>
        </is>
      </c>
      <c r="G439" t="inlineStr">
        <is>
          <t>SÄFFLE</t>
        </is>
      </c>
      <c r="H439" t="inlineStr">
        <is>
          <t>Kommuner</t>
        </is>
      </c>
      <c r="I439" t="n">
        <v>2.5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39148-2024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45548</v>
      </c>
      <c r="E440" s="1" t="n">
        <v>46309</v>
      </c>
      <c r="F440" t="inlineStr">
        <is>
          <t>VÄRMLANDS LÄN</t>
        </is>
      </c>
      <c r="G440" t="inlineStr">
        <is>
          <t>SÄFFLE</t>
        </is>
      </c>
      <c r="I440" t="n">
        <v>2.2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9015-2024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45356</v>
      </c>
      <c r="E441" s="1" t="n">
        <v>46309</v>
      </c>
      <c r="F441" t="inlineStr">
        <is>
          <t>VÄRMLANDS LÄN</t>
        </is>
      </c>
      <c r="G441" t="inlineStr">
        <is>
          <t>SÄFFLE</t>
        </is>
      </c>
      <c r="H441" t="inlineStr">
        <is>
          <t>Bergvik skog väst AB</t>
        </is>
      </c>
      <c r="I441" t="n">
        <v>1.4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47764-2025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45931</v>
      </c>
      <c r="E442" s="1" t="n">
        <v>46309</v>
      </c>
      <c r="F442" t="inlineStr">
        <is>
          <t>VÄRMLANDS LÄN</t>
        </is>
      </c>
      <c r="G442" t="inlineStr">
        <is>
          <t>SÄFFLE</t>
        </is>
      </c>
      <c r="I442" t="n">
        <v>3.9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28136-2023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45099</v>
      </c>
      <c r="E443" s="1" t="n">
        <v>46309</v>
      </c>
      <c r="F443" t="inlineStr">
        <is>
          <t>VÄRMLANDS LÄN</t>
        </is>
      </c>
      <c r="G443" t="inlineStr">
        <is>
          <t>SÄFFLE</t>
        </is>
      </c>
      <c r="I443" t="n">
        <v>1.6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30249-2022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44758</v>
      </c>
      <c r="E444" s="1" t="n">
        <v>46309</v>
      </c>
      <c r="F444" t="inlineStr">
        <is>
          <t>VÄRMLANDS LÄN</t>
        </is>
      </c>
      <c r="G444" t="inlineStr">
        <is>
          <t>SÄFFLE</t>
        </is>
      </c>
      <c r="I444" t="n">
        <v>1.5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30595-2022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44762</v>
      </c>
      <c r="E445" s="1" t="n">
        <v>46309</v>
      </c>
      <c r="F445" t="inlineStr">
        <is>
          <t>VÄRMLANDS LÄN</t>
        </is>
      </c>
      <c r="G445" t="inlineStr">
        <is>
          <t>SÄFFLE</t>
        </is>
      </c>
      <c r="I445" t="n">
        <v>1.6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30768-2025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45831</v>
      </c>
      <c r="E446" s="1" t="n">
        <v>46309</v>
      </c>
      <c r="F446" t="inlineStr">
        <is>
          <t>VÄRMLANDS LÄN</t>
        </is>
      </c>
      <c r="G446" t="inlineStr">
        <is>
          <t>SÄFFLE</t>
        </is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37000-2025</t>
        </is>
      </c>
      <c r="B447" t="inlineStr">
        <is>
          <t>avverkningsanmälan</t>
        </is>
      </c>
      <c r="C447" t="inlineStr">
        <is>
          <t>Avverkning för annat ändamål</t>
        </is>
      </c>
      <c r="D447" s="1" t="n">
        <v>45874</v>
      </c>
      <c r="E447" s="1" t="n">
        <v>46309</v>
      </c>
      <c r="F447" t="inlineStr">
        <is>
          <t>VÄRMLANDS LÄN</t>
        </is>
      </c>
      <c r="G447" t="inlineStr">
        <is>
          <t>SÄFFLE</t>
        </is>
      </c>
      <c r="I447" t="n">
        <v>15.2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19865-2025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45771</v>
      </c>
      <c r="E448" s="1" t="n">
        <v>46309</v>
      </c>
      <c r="F448" t="inlineStr">
        <is>
          <t>VÄRMLANDS LÄN</t>
        </is>
      </c>
      <c r="G448" t="inlineStr">
        <is>
          <t>SÄFFLE</t>
        </is>
      </c>
      <c r="I448" t="n">
        <v>1.4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10649-2024</t>
        </is>
      </c>
      <c r="B449" t="inlineStr">
        <is>
          <t>avverkningsanmälan</t>
        </is>
      </c>
      <c r="C449" t="inlineStr">
        <is>
          <t>Avverkning för annat ändamål</t>
        </is>
      </c>
      <c r="D449" s="1" t="n">
        <v>45368</v>
      </c>
      <c r="E449" s="1" t="n">
        <v>46309</v>
      </c>
      <c r="F449" t="inlineStr">
        <is>
          <t>VÄRMLANDS LÄN</t>
        </is>
      </c>
      <c r="G449" t="inlineStr">
        <is>
          <t>SÄFFLE</t>
        </is>
      </c>
      <c r="I449" t="n">
        <v>0.5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21492-2023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45063</v>
      </c>
      <c r="E450" s="1" t="n">
        <v>46309</v>
      </c>
      <c r="F450" t="inlineStr">
        <is>
          <t>VÄRMLANDS LÄN</t>
        </is>
      </c>
      <c r="G450" t="inlineStr">
        <is>
          <t>SÄFFLE</t>
        </is>
      </c>
      <c r="I450" t="n">
        <v>9.800000000000001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64061-2021</t>
        </is>
      </c>
      <c r="B451" t="inlineStr">
        <is>
          <t>avverkningsanmälan</t>
        </is>
      </c>
      <c r="C451" t="inlineStr">
        <is>
          <t>Avverkning för att bevara och utveckla /försöksver</t>
        </is>
      </c>
      <c r="D451" s="1" t="n">
        <v>44509</v>
      </c>
      <c r="E451" s="1" t="n">
        <v>46309</v>
      </c>
      <c r="F451" t="inlineStr">
        <is>
          <t>VÄRMLANDS LÄN</t>
        </is>
      </c>
      <c r="G451" t="inlineStr">
        <is>
          <t>SÄFFLE</t>
        </is>
      </c>
      <c r="H451" t="inlineStr">
        <is>
          <t>Bergvik skog väst AB</t>
        </is>
      </c>
      <c r="I451" t="n">
        <v>12.6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28988-2024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45481</v>
      </c>
      <c r="E452" s="1" t="n">
        <v>46309</v>
      </c>
      <c r="F452" t="inlineStr">
        <is>
          <t>VÄRMLANDS LÄN</t>
        </is>
      </c>
      <c r="G452" t="inlineStr">
        <is>
          <t>SÄFFLE</t>
        </is>
      </c>
      <c r="I452" t="n">
        <v>1.8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40021-2025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45894</v>
      </c>
      <c r="E453" s="1" t="n">
        <v>46309</v>
      </c>
      <c r="F453" t="inlineStr">
        <is>
          <t>VÄRMLANDS LÄN</t>
        </is>
      </c>
      <c r="G453" t="inlineStr">
        <is>
          <t>SÄFFLE</t>
        </is>
      </c>
      <c r="I453" t="n">
        <v>4.1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1285-2022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44572</v>
      </c>
      <c r="E454" s="1" t="n">
        <v>46309</v>
      </c>
      <c r="F454" t="inlineStr">
        <is>
          <t>VÄRMLANDS LÄN</t>
        </is>
      </c>
      <c r="G454" t="inlineStr">
        <is>
          <t>SÄFFLE</t>
        </is>
      </c>
      <c r="I454" t="n">
        <v>2.3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54367-2022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44879</v>
      </c>
      <c r="E455" s="1" t="n">
        <v>46309</v>
      </c>
      <c r="F455" t="inlineStr">
        <is>
          <t>VÄRMLANDS LÄN</t>
        </is>
      </c>
      <c r="G455" t="inlineStr">
        <is>
          <t>SÄFFLE</t>
        </is>
      </c>
      <c r="I455" t="n">
        <v>2.1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67174-2021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44523</v>
      </c>
      <c r="E456" s="1" t="n">
        <v>46309</v>
      </c>
      <c r="F456" t="inlineStr">
        <is>
          <t>VÄRMLANDS LÄN</t>
        </is>
      </c>
      <c r="G456" t="inlineStr">
        <is>
          <t>SÄFFLE</t>
        </is>
      </c>
      <c r="I456" t="n">
        <v>2.8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11965-2025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45728</v>
      </c>
      <c r="E457" s="1" t="n">
        <v>46309</v>
      </c>
      <c r="F457" t="inlineStr">
        <is>
          <t>VÄRMLANDS LÄN</t>
        </is>
      </c>
      <c r="G457" t="inlineStr">
        <is>
          <t>SÄFFLE</t>
        </is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8746-2024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45356</v>
      </c>
      <c r="E458" s="1" t="n">
        <v>46309</v>
      </c>
      <c r="F458" t="inlineStr">
        <is>
          <t>VÄRMLANDS LÄN</t>
        </is>
      </c>
      <c r="G458" t="inlineStr">
        <is>
          <t>SÄFFLE</t>
        </is>
      </c>
      <c r="I458" t="n">
        <v>9.300000000000001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7360-2025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45704</v>
      </c>
      <c r="E459" s="1" t="n">
        <v>46309</v>
      </c>
      <c r="F459" t="inlineStr">
        <is>
          <t>VÄRMLANDS LÄN</t>
        </is>
      </c>
      <c r="G459" t="inlineStr">
        <is>
          <t>SÄFFLE</t>
        </is>
      </c>
      <c r="I459" t="n">
        <v>3.5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5287-2024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45331</v>
      </c>
      <c r="E460" s="1" t="n">
        <v>46309</v>
      </c>
      <c r="F460" t="inlineStr">
        <is>
          <t>VÄRMLANDS LÄN</t>
        </is>
      </c>
      <c r="G460" t="inlineStr">
        <is>
          <t>SÄFFLE</t>
        </is>
      </c>
      <c r="I460" t="n">
        <v>1.7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26534-2025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45807</v>
      </c>
      <c r="E461" s="1" t="n">
        <v>46309</v>
      </c>
      <c r="F461" t="inlineStr">
        <is>
          <t>VÄRMLANDS LÄN</t>
        </is>
      </c>
      <c r="G461" t="inlineStr">
        <is>
          <t>SÄFFLE</t>
        </is>
      </c>
      <c r="I461" t="n">
        <v>1.6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26537-2025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45807</v>
      </c>
      <c r="E462" s="1" t="n">
        <v>46309</v>
      </c>
      <c r="F462" t="inlineStr">
        <is>
          <t>VÄRMLANDS LÄN</t>
        </is>
      </c>
      <c r="G462" t="inlineStr">
        <is>
          <t>SÄFFLE</t>
        </is>
      </c>
      <c r="I462" t="n">
        <v>1.8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63080-2023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45273</v>
      </c>
      <c r="E463" s="1" t="n">
        <v>46309</v>
      </c>
      <c r="F463" t="inlineStr">
        <is>
          <t>VÄRMLANDS LÄN</t>
        </is>
      </c>
      <c r="G463" t="inlineStr">
        <is>
          <t>SÄFFLE</t>
        </is>
      </c>
      <c r="I463" t="n">
        <v>11.2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14893-2024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45398</v>
      </c>
      <c r="E464" s="1" t="n">
        <v>46309</v>
      </c>
      <c r="F464" t="inlineStr">
        <is>
          <t>VÄRMLANDS LÄN</t>
        </is>
      </c>
      <c r="G464" t="inlineStr">
        <is>
          <t>SÄFFLE</t>
        </is>
      </c>
      <c r="I464" t="n">
        <v>1.1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13438-2024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45387</v>
      </c>
      <c r="E465" s="1" t="n">
        <v>46309</v>
      </c>
      <c r="F465" t="inlineStr">
        <is>
          <t>VÄRMLANDS LÄN</t>
        </is>
      </c>
      <c r="G465" t="inlineStr">
        <is>
          <t>SÄFFLE</t>
        </is>
      </c>
      <c r="I465" t="n">
        <v>2.5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48079-2025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45932</v>
      </c>
      <c r="E466" s="1" t="n">
        <v>46309</v>
      </c>
      <c r="F466" t="inlineStr">
        <is>
          <t>VÄRMLANDS LÄN</t>
        </is>
      </c>
      <c r="G466" t="inlineStr">
        <is>
          <t>SÄFFLE</t>
        </is>
      </c>
      <c r="H466" t="inlineStr">
        <is>
          <t>Kyrkan</t>
        </is>
      </c>
      <c r="I466" t="n">
        <v>12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45167-2023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45191</v>
      </c>
      <c r="E467" s="1" t="n">
        <v>46309</v>
      </c>
      <c r="F467" t="inlineStr">
        <is>
          <t>VÄRMLANDS LÄN</t>
        </is>
      </c>
      <c r="G467" t="inlineStr">
        <is>
          <t>SÄFFLE</t>
        </is>
      </c>
      <c r="I467" t="n">
        <v>1.9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60198-2022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44910</v>
      </c>
      <c r="E468" s="1" t="n">
        <v>46309</v>
      </c>
      <c r="F468" t="inlineStr">
        <is>
          <t>VÄRMLANDS LÄN</t>
        </is>
      </c>
      <c r="G468" t="inlineStr">
        <is>
          <t>SÄFFLE</t>
        </is>
      </c>
      <c r="H468" t="inlineStr">
        <is>
          <t>Bergvik skog väst AB</t>
        </is>
      </c>
      <c r="I468" t="n">
        <v>1.5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28943-2025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45820</v>
      </c>
      <c r="E469" s="1" t="n">
        <v>46309</v>
      </c>
      <c r="F469" t="inlineStr">
        <is>
          <t>VÄRMLANDS LÄN</t>
        </is>
      </c>
      <c r="G469" t="inlineStr">
        <is>
          <t>SÄFFLE</t>
        </is>
      </c>
      <c r="I469" t="n">
        <v>1.8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9152-2023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44976</v>
      </c>
      <c r="E470" s="1" t="n">
        <v>46309</v>
      </c>
      <c r="F470" t="inlineStr">
        <is>
          <t>VÄRMLANDS LÄN</t>
        </is>
      </c>
      <c r="G470" t="inlineStr">
        <is>
          <t>SÄFFLE</t>
        </is>
      </c>
      <c r="I470" t="n">
        <v>4.5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7797-2025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45706</v>
      </c>
      <c r="E471" s="1" t="n">
        <v>46309</v>
      </c>
      <c r="F471" t="inlineStr">
        <is>
          <t>VÄRMLANDS LÄN</t>
        </is>
      </c>
      <c r="G471" t="inlineStr">
        <is>
          <t>SÄFFLE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42586-2025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45905</v>
      </c>
      <c r="E472" s="1" t="n">
        <v>46309</v>
      </c>
      <c r="F472" t="inlineStr">
        <is>
          <t>VÄRMLANDS LÄN</t>
        </is>
      </c>
      <c r="G472" t="inlineStr">
        <is>
          <t>SÄFFLE</t>
        </is>
      </c>
      <c r="I472" t="n">
        <v>3.1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11782-2024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45374</v>
      </c>
      <c r="E473" s="1" t="n">
        <v>46309</v>
      </c>
      <c r="F473" t="inlineStr">
        <is>
          <t>VÄRMLANDS LÄN</t>
        </is>
      </c>
      <c r="G473" t="inlineStr">
        <is>
          <t>SÄFFLE</t>
        </is>
      </c>
      <c r="I473" t="n">
        <v>0.4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11783-2024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45374</v>
      </c>
      <c r="E474" s="1" t="n">
        <v>46309</v>
      </c>
      <c r="F474" t="inlineStr">
        <is>
          <t>VÄRMLANDS LÄN</t>
        </is>
      </c>
      <c r="G474" t="inlineStr">
        <is>
          <t>SÄFFLE</t>
        </is>
      </c>
      <c r="H474" t="inlineStr">
        <is>
          <t>Kommuner</t>
        </is>
      </c>
      <c r="I474" t="n">
        <v>1.5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21273-2025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45779</v>
      </c>
      <c r="E475" s="1" t="n">
        <v>46309</v>
      </c>
      <c r="F475" t="inlineStr">
        <is>
          <t>VÄRMLANDS LÄN</t>
        </is>
      </c>
      <c r="G475" t="inlineStr">
        <is>
          <t>SÄFFLE</t>
        </is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54781-2025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45966</v>
      </c>
      <c r="E476" s="1" t="n">
        <v>46309</v>
      </c>
      <c r="F476" t="inlineStr">
        <is>
          <t>VÄRMLANDS LÄN</t>
        </is>
      </c>
      <c r="G476" t="inlineStr">
        <is>
          <t>SÄFFLE</t>
        </is>
      </c>
      <c r="I476" t="n">
        <v>2.3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45348-2025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45922</v>
      </c>
      <c r="E477" s="1" t="n">
        <v>46309</v>
      </c>
      <c r="F477" t="inlineStr">
        <is>
          <t>VÄRMLANDS LÄN</t>
        </is>
      </c>
      <c r="G477" t="inlineStr">
        <is>
          <t>SÄFFLE</t>
        </is>
      </c>
      <c r="I477" t="n">
        <v>7.3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37710-2025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45880</v>
      </c>
      <c r="E478" s="1" t="n">
        <v>46309</v>
      </c>
      <c r="F478" t="inlineStr">
        <is>
          <t>VÄRMLANDS LÄN</t>
        </is>
      </c>
      <c r="G478" t="inlineStr">
        <is>
          <t>SÄFFLE</t>
        </is>
      </c>
      <c r="I478" t="n">
        <v>3.4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4249-2025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45685</v>
      </c>
      <c r="E479" s="1" t="n">
        <v>46309</v>
      </c>
      <c r="F479" t="inlineStr">
        <is>
          <t>VÄRMLANDS LÄN</t>
        </is>
      </c>
      <c r="G479" t="inlineStr">
        <is>
          <t>SÄFFLE</t>
        </is>
      </c>
      <c r="I479" t="n">
        <v>6.6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18419-2024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45425</v>
      </c>
      <c r="E480" s="1" t="n">
        <v>46309</v>
      </c>
      <c r="F480" t="inlineStr">
        <is>
          <t>VÄRMLANDS LÄN</t>
        </is>
      </c>
      <c r="G480" t="inlineStr">
        <is>
          <t>SÄFFLE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13274-2025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45735</v>
      </c>
      <c r="E481" s="1" t="n">
        <v>46309</v>
      </c>
      <c r="F481" t="inlineStr">
        <is>
          <t>VÄRMLANDS LÄN</t>
        </is>
      </c>
      <c r="G481" t="inlineStr">
        <is>
          <t>SÄFFLE</t>
        </is>
      </c>
      <c r="I481" t="n">
        <v>1.4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36840-2025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45874</v>
      </c>
      <c r="E482" s="1" t="n">
        <v>46309</v>
      </c>
      <c r="F482" t="inlineStr">
        <is>
          <t>VÄRMLANDS LÄN</t>
        </is>
      </c>
      <c r="G482" t="inlineStr">
        <is>
          <t>SÄFFLE</t>
        </is>
      </c>
      <c r="I482" t="n">
        <v>5.8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43862-2025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45912</v>
      </c>
      <c r="E483" s="1" t="n">
        <v>46309</v>
      </c>
      <c r="F483" t="inlineStr">
        <is>
          <t>VÄRMLANDS LÄN</t>
        </is>
      </c>
      <c r="G483" t="inlineStr">
        <is>
          <t>SÄFFLE</t>
        </is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62000-2023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45266</v>
      </c>
      <c r="E484" s="1" t="n">
        <v>46309</v>
      </c>
      <c r="F484" t="inlineStr">
        <is>
          <t>VÄRMLANDS LÄN</t>
        </is>
      </c>
      <c r="G484" t="inlineStr">
        <is>
          <t>SÄFFLE</t>
        </is>
      </c>
      <c r="I484" t="n">
        <v>3.9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20318-2026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46139</v>
      </c>
      <c r="E485" s="1" t="n">
        <v>46309</v>
      </c>
      <c r="F485" t="inlineStr">
        <is>
          <t>VÄRMLANDS LÄN</t>
        </is>
      </c>
      <c r="G485" t="inlineStr">
        <is>
          <t>SÄFFLE</t>
        </is>
      </c>
      <c r="I485" t="n">
        <v>4.4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11626-2023</t>
        </is>
      </c>
      <c r="B486" t="inlineStr">
        <is>
          <t>avverkningsanmälan</t>
        </is>
      </c>
      <c r="C486" t="inlineStr">
        <is>
          <t>Avverkning för annat ändamål</t>
        </is>
      </c>
      <c r="D486" s="1" t="n">
        <v>44994</v>
      </c>
      <c r="E486" s="1" t="n">
        <v>46309</v>
      </c>
      <c r="F486" t="inlineStr">
        <is>
          <t>VÄRMLANDS LÄN</t>
        </is>
      </c>
      <c r="G486" t="inlineStr">
        <is>
          <t>SÄFFLE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51266-2024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45603</v>
      </c>
      <c r="E487" s="1" t="n">
        <v>46309</v>
      </c>
      <c r="F487" t="inlineStr">
        <is>
          <t>VÄRMLANDS LÄN</t>
        </is>
      </c>
      <c r="G487" t="inlineStr">
        <is>
          <t>SÄFFLE</t>
        </is>
      </c>
      <c r="I487" t="n">
        <v>3.5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48878-2023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45204</v>
      </c>
      <c r="E488" s="1" t="n">
        <v>46309</v>
      </c>
      <c r="F488" t="inlineStr">
        <is>
          <t>VÄRMLANDS LÄN</t>
        </is>
      </c>
      <c r="G488" t="inlineStr">
        <is>
          <t>SÄFFLE</t>
        </is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35417-2025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45855</v>
      </c>
      <c r="E489" s="1" t="n">
        <v>46309</v>
      </c>
      <c r="F489" t="inlineStr">
        <is>
          <t>VÄRMLANDS LÄN</t>
        </is>
      </c>
      <c r="G489" t="inlineStr">
        <is>
          <t>SÄFFLE</t>
        </is>
      </c>
      <c r="I489" t="n">
        <v>4.6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40754-2024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45558</v>
      </c>
      <c r="E490" s="1" t="n">
        <v>46309</v>
      </c>
      <c r="F490" t="inlineStr">
        <is>
          <t>VÄRMLANDS LÄN</t>
        </is>
      </c>
      <c r="G490" t="inlineStr">
        <is>
          <t>SÄFFLE</t>
        </is>
      </c>
      <c r="I490" t="n">
        <v>1.8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20405-2026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46139</v>
      </c>
      <c r="E491" s="1" t="n">
        <v>46309</v>
      </c>
      <c r="F491" t="inlineStr">
        <is>
          <t>VÄRMLANDS LÄN</t>
        </is>
      </c>
      <c r="G491" t="inlineStr">
        <is>
          <t>SÄFFLE</t>
        </is>
      </c>
      <c r="I491" t="n">
        <v>8.1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7602-2024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45348</v>
      </c>
      <c r="E492" s="1" t="n">
        <v>46309</v>
      </c>
      <c r="F492" t="inlineStr">
        <is>
          <t>VÄRMLANDS LÄN</t>
        </is>
      </c>
      <c r="G492" t="inlineStr">
        <is>
          <t>SÄFFLE</t>
        </is>
      </c>
      <c r="I492" t="n">
        <v>4.9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36847-2025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45874</v>
      </c>
      <c r="E493" s="1" t="n">
        <v>46309</v>
      </c>
      <c r="F493" t="inlineStr">
        <is>
          <t>VÄRMLANDS LÄN</t>
        </is>
      </c>
      <c r="G493" t="inlineStr">
        <is>
          <t>SÄFFLE</t>
        </is>
      </c>
      <c r="I493" t="n">
        <v>1.9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47919-2025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45932</v>
      </c>
      <c r="E494" s="1" t="n">
        <v>46309</v>
      </c>
      <c r="F494" t="inlineStr">
        <is>
          <t>VÄRMLANDS LÄN</t>
        </is>
      </c>
      <c r="G494" t="inlineStr">
        <is>
          <t>SÄFFLE</t>
        </is>
      </c>
      <c r="H494" t="inlineStr">
        <is>
          <t>Kyrkan</t>
        </is>
      </c>
      <c r="I494" t="n">
        <v>9.1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8589-2024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45355</v>
      </c>
      <c r="E495" s="1" t="n">
        <v>46309</v>
      </c>
      <c r="F495" t="inlineStr">
        <is>
          <t>VÄRMLANDS LÄN</t>
        </is>
      </c>
      <c r="G495" t="inlineStr">
        <is>
          <t>SÄFFLE</t>
        </is>
      </c>
      <c r="I495" t="n">
        <v>3.1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52025-2024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45607</v>
      </c>
      <c r="E496" s="1" t="n">
        <v>46309</v>
      </c>
      <c r="F496" t="inlineStr">
        <is>
          <t>VÄRMLANDS LÄN</t>
        </is>
      </c>
      <c r="G496" t="inlineStr">
        <is>
          <t>SÄFFLE</t>
        </is>
      </c>
      <c r="I496" t="n">
        <v>1.8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2633-2024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45314</v>
      </c>
      <c r="E497" s="1" t="n">
        <v>46309</v>
      </c>
      <c r="F497" t="inlineStr">
        <is>
          <t>VÄRMLANDS LÄN</t>
        </is>
      </c>
      <c r="G497" t="inlineStr">
        <is>
          <t>SÄFFLE</t>
        </is>
      </c>
      <c r="I497" t="n">
        <v>0.6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63745-2021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44509</v>
      </c>
      <c r="E498" s="1" t="n">
        <v>46309</v>
      </c>
      <c r="F498" t="inlineStr">
        <is>
          <t>VÄRMLANDS LÄN</t>
        </is>
      </c>
      <c r="G498" t="inlineStr">
        <is>
          <t>SÄFFLE</t>
        </is>
      </c>
      <c r="I498" t="n">
        <v>1.9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30976-2025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45832</v>
      </c>
      <c r="E499" s="1" t="n">
        <v>46309</v>
      </c>
      <c r="F499" t="inlineStr">
        <is>
          <t>VÄRMLANDS LÄN</t>
        </is>
      </c>
      <c r="G499" t="inlineStr">
        <is>
          <t>SÄFFLE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40540-2025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45896</v>
      </c>
      <c r="E500" s="1" t="n">
        <v>46309</v>
      </c>
      <c r="F500" t="inlineStr">
        <is>
          <t>VÄRMLANDS LÄN</t>
        </is>
      </c>
      <c r="G500" t="inlineStr">
        <is>
          <t>SÄFFLE</t>
        </is>
      </c>
      <c r="I500" t="n">
        <v>2.6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14232-2025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45740</v>
      </c>
      <c r="E501" s="1" t="n">
        <v>46309</v>
      </c>
      <c r="F501" t="inlineStr">
        <is>
          <t>VÄRMLANDS LÄN</t>
        </is>
      </c>
      <c r="G501" t="inlineStr">
        <is>
          <t>SÄFFLE</t>
        </is>
      </c>
      <c r="H501" t="inlineStr">
        <is>
          <t>Bergvik skog väst AB</t>
        </is>
      </c>
      <c r="I501" t="n">
        <v>6.1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35116-2024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45527</v>
      </c>
      <c r="E502" s="1" t="n">
        <v>46309</v>
      </c>
      <c r="F502" t="inlineStr">
        <is>
          <t>VÄRMLANDS LÄN</t>
        </is>
      </c>
      <c r="G502" t="inlineStr">
        <is>
          <t>SÄFFLE</t>
        </is>
      </c>
      <c r="I502" t="n">
        <v>2.1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11737-2025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45727</v>
      </c>
      <c r="E503" s="1" t="n">
        <v>46309</v>
      </c>
      <c r="F503" t="inlineStr">
        <is>
          <t>VÄRMLANDS LÄN</t>
        </is>
      </c>
      <c r="G503" t="inlineStr">
        <is>
          <t>SÄFFLE</t>
        </is>
      </c>
      <c r="I503" t="n">
        <v>11.4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20336-2026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46139</v>
      </c>
      <c r="E504" s="1" t="n">
        <v>46309</v>
      </c>
      <c r="F504" t="inlineStr">
        <is>
          <t>VÄRMLANDS LÄN</t>
        </is>
      </c>
      <c r="G504" t="inlineStr">
        <is>
          <t>SÄFFLE</t>
        </is>
      </c>
      <c r="I504" t="n">
        <v>3.3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65023-2023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45282</v>
      </c>
      <c r="E505" s="1" t="n">
        <v>46309</v>
      </c>
      <c r="F505" t="inlineStr">
        <is>
          <t>VÄRMLANDS LÄN</t>
        </is>
      </c>
      <c r="G505" t="inlineStr">
        <is>
          <t>SÄFFLE</t>
        </is>
      </c>
      <c r="I505" t="n">
        <v>2.5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34505-2025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45847</v>
      </c>
      <c r="E506" s="1" t="n">
        <v>46309</v>
      </c>
      <c r="F506" t="inlineStr">
        <is>
          <t>VÄRMLANDS LÄN</t>
        </is>
      </c>
      <c r="G506" t="inlineStr">
        <is>
          <t>SÄFFLE</t>
        </is>
      </c>
      <c r="I506" t="n">
        <v>2.4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52424-2024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45609</v>
      </c>
      <c r="E507" s="1" t="n">
        <v>46309</v>
      </c>
      <c r="F507" t="inlineStr">
        <is>
          <t>VÄRMLANDS LÄN</t>
        </is>
      </c>
      <c r="G507" t="inlineStr">
        <is>
          <t>SÄFFLE</t>
        </is>
      </c>
      <c r="I507" t="n">
        <v>1.4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9500-2025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45714</v>
      </c>
      <c r="E508" s="1" t="n">
        <v>46309</v>
      </c>
      <c r="F508" t="inlineStr">
        <is>
          <t>VÄRMLANDS LÄN</t>
        </is>
      </c>
      <c r="G508" t="inlineStr">
        <is>
          <t>SÄFFLE</t>
        </is>
      </c>
      <c r="I508" t="n">
        <v>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46526-2024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45582</v>
      </c>
      <c r="E509" s="1" t="n">
        <v>46309</v>
      </c>
      <c r="F509" t="inlineStr">
        <is>
          <t>VÄRMLANDS LÄN</t>
        </is>
      </c>
      <c r="G509" t="inlineStr">
        <is>
          <t>SÄFFLE</t>
        </is>
      </c>
      <c r="I509" t="n">
        <v>1.1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19188-2023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45044</v>
      </c>
      <c r="E510" s="1" t="n">
        <v>46309</v>
      </c>
      <c r="F510" t="inlineStr">
        <is>
          <t>VÄRMLANDS LÄN</t>
        </is>
      </c>
      <c r="G510" t="inlineStr">
        <is>
          <t>SÄFFLE</t>
        </is>
      </c>
      <c r="I510" t="n">
        <v>2.6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11020-2025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45723</v>
      </c>
      <c r="E511" s="1" t="n">
        <v>46309</v>
      </c>
      <c r="F511" t="inlineStr">
        <is>
          <t>VÄRMLANDS LÄN</t>
        </is>
      </c>
      <c r="G511" t="inlineStr">
        <is>
          <t>SÄFFLE</t>
        </is>
      </c>
      <c r="I511" t="n">
        <v>1.6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14314-2024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45393</v>
      </c>
      <c r="E512" s="1" t="n">
        <v>46309</v>
      </c>
      <c r="F512" t="inlineStr">
        <is>
          <t>VÄRMLANDS LÄN</t>
        </is>
      </c>
      <c r="G512" t="inlineStr">
        <is>
          <t>SÄFFLE</t>
        </is>
      </c>
      <c r="I512" t="n">
        <v>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13183-2025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45735</v>
      </c>
      <c r="E513" s="1" t="n">
        <v>46309</v>
      </c>
      <c r="F513" t="inlineStr">
        <is>
          <t>VÄRMLANDS LÄN</t>
        </is>
      </c>
      <c r="G513" t="inlineStr">
        <is>
          <t>SÄFFLE</t>
        </is>
      </c>
      <c r="I513" t="n">
        <v>0.6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10087-2025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45719</v>
      </c>
      <c r="E514" s="1" t="n">
        <v>46309</v>
      </c>
      <c r="F514" t="inlineStr">
        <is>
          <t>VÄRMLANDS LÄN</t>
        </is>
      </c>
      <c r="G514" t="inlineStr">
        <is>
          <t>SÄFFLE</t>
        </is>
      </c>
      <c r="I514" t="n">
        <v>11.9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45233-2023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45191</v>
      </c>
      <c r="E515" s="1" t="n">
        <v>46309</v>
      </c>
      <c r="F515" t="inlineStr">
        <is>
          <t>VÄRMLANDS LÄN</t>
        </is>
      </c>
      <c r="G515" t="inlineStr">
        <is>
          <t>SÄFFLE</t>
        </is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24704-2024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45460</v>
      </c>
      <c r="E516" s="1" t="n">
        <v>46309</v>
      </c>
      <c r="F516" t="inlineStr">
        <is>
          <t>VÄRMLANDS LÄN</t>
        </is>
      </c>
      <c r="G516" t="inlineStr">
        <is>
          <t>SÄFFLE</t>
        </is>
      </c>
      <c r="I516" t="n">
        <v>49.7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49255-2024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45595</v>
      </c>
      <c r="E517" s="1" t="n">
        <v>46309</v>
      </c>
      <c r="F517" t="inlineStr">
        <is>
          <t>VÄRMLANDS LÄN</t>
        </is>
      </c>
      <c r="G517" t="inlineStr">
        <is>
          <t>SÄFFLE</t>
        </is>
      </c>
      <c r="I517" t="n">
        <v>1.4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21012-2026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46142</v>
      </c>
      <c r="E518" s="1" t="n">
        <v>46309</v>
      </c>
      <c r="F518" t="inlineStr">
        <is>
          <t>VÄRMLANDS LÄN</t>
        </is>
      </c>
      <c r="G518" t="inlineStr">
        <is>
          <t>SÄFFLE</t>
        </is>
      </c>
      <c r="I518" t="n">
        <v>3.6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64322-2023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45280</v>
      </c>
      <c r="E519" s="1" t="n">
        <v>46309</v>
      </c>
      <c r="F519" t="inlineStr">
        <is>
          <t>VÄRMLANDS LÄN</t>
        </is>
      </c>
      <c r="G519" t="inlineStr">
        <is>
          <t>SÄFFLE</t>
        </is>
      </c>
      <c r="I519" t="n">
        <v>0.9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35353-2023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45146</v>
      </c>
      <c r="E520" s="1" t="n">
        <v>46309</v>
      </c>
      <c r="F520" t="inlineStr">
        <is>
          <t>VÄRMLANDS LÄN</t>
        </is>
      </c>
      <c r="G520" t="inlineStr">
        <is>
          <t>SÄFFLE</t>
        </is>
      </c>
      <c r="I520" t="n">
        <v>0.6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21189-2026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46146</v>
      </c>
      <c r="E521" s="1" t="n">
        <v>46309</v>
      </c>
      <c r="F521" t="inlineStr">
        <is>
          <t>VÄRMLANDS LÄN</t>
        </is>
      </c>
      <c r="G521" t="inlineStr">
        <is>
          <t>SÄFFLE</t>
        </is>
      </c>
      <c r="I521" t="n">
        <v>8.4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21901-2026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46148</v>
      </c>
      <c r="E522" s="1" t="n">
        <v>46309</v>
      </c>
      <c r="F522" t="inlineStr">
        <is>
          <t>VÄRMLANDS LÄN</t>
        </is>
      </c>
      <c r="G522" t="inlineStr">
        <is>
          <t>SÄFFLE</t>
        </is>
      </c>
      <c r="I522" t="n">
        <v>1.7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36208-2024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45534</v>
      </c>
      <c r="E523" s="1" t="n">
        <v>46309</v>
      </c>
      <c r="F523" t="inlineStr">
        <is>
          <t>VÄRMLANDS LÄN</t>
        </is>
      </c>
      <c r="G523" t="inlineStr">
        <is>
          <t>SÄFFLE</t>
        </is>
      </c>
      <c r="H523" t="inlineStr">
        <is>
          <t>Kyrkan</t>
        </is>
      </c>
      <c r="I523" t="n">
        <v>4.8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5594-2024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45334</v>
      </c>
      <c r="E524" s="1" t="n">
        <v>46309</v>
      </c>
      <c r="F524" t="inlineStr">
        <is>
          <t>VÄRMLANDS LÄN</t>
        </is>
      </c>
      <c r="G524" t="inlineStr">
        <is>
          <t>SÄFFLE</t>
        </is>
      </c>
      <c r="I524" t="n">
        <v>4.3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1381-2025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45667</v>
      </c>
      <c r="E525" s="1" t="n">
        <v>46309</v>
      </c>
      <c r="F525" t="inlineStr">
        <is>
          <t>VÄRMLANDS LÄN</t>
        </is>
      </c>
      <c r="G525" t="inlineStr">
        <is>
          <t>SÄFFLE</t>
        </is>
      </c>
      <c r="I525" t="n">
        <v>1.9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22049-2026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46149</v>
      </c>
      <c r="E526" s="1" t="n">
        <v>46309</v>
      </c>
      <c r="F526" t="inlineStr">
        <is>
          <t>VÄRMLANDS LÄN</t>
        </is>
      </c>
      <c r="G526" t="inlineStr">
        <is>
          <t>SÄFFLE</t>
        </is>
      </c>
      <c r="I526" t="n">
        <v>7.4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25657-2023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45089</v>
      </c>
      <c r="E527" s="1" t="n">
        <v>46309</v>
      </c>
      <c r="F527" t="inlineStr">
        <is>
          <t>VÄRMLANDS LÄN</t>
        </is>
      </c>
      <c r="G527" t="inlineStr">
        <is>
          <t>SÄFFLE</t>
        </is>
      </c>
      <c r="I527" t="n">
        <v>1.5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6966-2022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44603</v>
      </c>
      <c r="E528" s="1" t="n">
        <v>46309</v>
      </c>
      <c r="F528" t="inlineStr">
        <is>
          <t>VÄRMLANDS LÄN</t>
        </is>
      </c>
      <c r="G528" t="inlineStr">
        <is>
          <t>SÄFFLE</t>
        </is>
      </c>
      <c r="I528" t="n">
        <v>2.3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73355-2021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44550</v>
      </c>
      <c r="E529" s="1" t="n">
        <v>46309</v>
      </c>
      <c r="F529" t="inlineStr">
        <is>
          <t>VÄRMLANDS LÄN</t>
        </is>
      </c>
      <c r="G529" t="inlineStr">
        <is>
          <t>SÄFFLE</t>
        </is>
      </c>
      <c r="I529" t="n">
        <v>2.2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12482-2024</t>
        </is>
      </c>
      <c r="B530" t="inlineStr">
        <is>
          <t>avverkningsanmälan</t>
        </is>
      </c>
      <c r="C530" t="inlineStr">
        <is>
          <t>Avverkning för annat ändamål</t>
        </is>
      </c>
      <c r="D530" s="1" t="n">
        <v>45379</v>
      </c>
      <c r="E530" s="1" t="n">
        <v>46309</v>
      </c>
      <c r="F530" t="inlineStr">
        <is>
          <t>VÄRMLANDS LÄN</t>
        </is>
      </c>
      <c r="G530" t="inlineStr">
        <is>
          <t>SÄFFLE</t>
        </is>
      </c>
      <c r="I530" t="n">
        <v>3.2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21075-2024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45439</v>
      </c>
      <c r="E531" s="1" t="n">
        <v>46309</v>
      </c>
      <c r="F531" t="inlineStr">
        <is>
          <t>VÄRMLANDS LÄN</t>
        </is>
      </c>
      <c r="G531" t="inlineStr">
        <is>
          <t>SÄFFLE</t>
        </is>
      </c>
      <c r="I531" t="n">
        <v>4.5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22393-2026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46154</v>
      </c>
      <c r="E532" s="1" t="n">
        <v>46309</v>
      </c>
      <c r="F532" t="inlineStr">
        <is>
          <t>VÄRMLANDS LÄN</t>
        </is>
      </c>
      <c r="G532" t="inlineStr">
        <is>
          <t>SÄFFLE</t>
        </is>
      </c>
      <c r="I532" t="n">
        <v>0.4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22591-2026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46155</v>
      </c>
      <c r="E533" s="1" t="n">
        <v>46309</v>
      </c>
      <c r="F533" t="inlineStr">
        <is>
          <t>VÄRMLANDS LÄN</t>
        </is>
      </c>
      <c r="G533" t="inlineStr">
        <is>
          <t>SÄFFLE</t>
        </is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56552-2024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45625</v>
      </c>
      <c r="E534" s="1" t="n">
        <v>46309</v>
      </c>
      <c r="F534" t="inlineStr">
        <is>
          <t>VÄRMLANDS LÄN</t>
        </is>
      </c>
      <c r="G534" t="inlineStr">
        <is>
          <t>SÄFFLE</t>
        </is>
      </c>
      <c r="I534" t="n">
        <v>2.5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31624-2024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45506</v>
      </c>
      <c r="E535" s="1" t="n">
        <v>46309</v>
      </c>
      <c r="F535" t="inlineStr">
        <is>
          <t>VÄRMLANDS LÄN</t>
        </is>
      </c>
      <c r="G535" t="inlineStr">
        <is>
          <t>SÄFFLE</t>
        </is>
      </c>
      <c r="H535" t="inlineStr">
        <is>
          <t>Kyrkan</t>
        </is>
      </c>
      <c r="I535" t="n">
        <v>2.4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2862-2022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44581</v>
      </c>
      <c r="E536" s="1" t="n">
        <v>46309</v>
      </c>
      <c r="F536" t="inlineStr">
        <is>
          <t>VÄRMLANDS LÄN</t>
        </is>
      </c>
      <c r="G536" t="inlineStr">
        <is>
          <t>SÄFFLE</t>
        </is>
      </c>
      <c r="I536" t="n">
        <v>0.9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32386-2025</t>
        </is>
      </c>
      <c r="B537" t="inlineStr">
        <is>
          <t>avverkningsanmälan</t>
        </is>
      </c>
      <c r="C537" t="inlineStr">
        <is>
          <t>Avverkning för annat ändamål</t>
        </is>
      </c>
      <c r="D537" s="1" t="n">
        <v>45837</v>
      </c>
      <c r="E537" s="1" t="n">
        <v>46309</v>
      </c>
      <c r="F537" t="inlineStr">
        <is>
          <t>VÄRMLANDS LÄN</t>
        </is>
      </c>
      <c r="G537" t="inlineStr">
        <is>
          <t>SÄFFLE</t>
        </is>
      </c>
      <c r="I537" t="n">
        <v>1.1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7504-2022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44607</v>
      </c>
      <c r="E538" s="1" t="n">
        <v>46309</v>
      </c>
      <c r="F538" t="inlineStr">
        <is>
          <t>VÄRMLANDS LÄN</t>
        </is>
      </c>
      <c r="G538" t="inlineStr">
        <is>
          <t>SÄFFLE</t>
        </is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35533-2023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45146</v>
      </c>
      <c r="E539" s="1" t="n">
        <v>46309</v>
      </c>
      <c r="F539" t="inlineStr">
        <is>
          <t>VÄRMLANDS LÄN</t>
        </is>
      </c>
      <c r="G539" t="inlineStr">
        <is>
          <t>SÄFFLE</t>
        </is>
      </c>
      <c r="I539" t="n">
        <v>6.6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8621-2025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45711</v>
      </c>
      <c r="E540" s="1" t="n">
        <v>46309</v>
      </c>
      <c r="F540" t="inlineStr">
        <is>
          <t>VÄRMLANDS LÄN</t>
        </is>
      </c>
      <c r="G540" t="inlineStr">
        <is>
          <t>SÄFFLE</t>
        </is>
      </c>
      <c r="I540" t="n">
        <v>0.7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28737-2026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46198</v>
      </c>
      <c r="E541" s="1" t="n">
        <v>46309</v>
      </c>
      <c r="F541" t="inlineStr">
        <is>
          <t>VÄRMLANDS LÄN</t>
        </is>
      </c>
      <c r="G541" t="inlineStr">
        <is>
          <t>SÄFFLE</t>
        </is>
      </c>
      <c r="I541" t="n">
        <v>4.8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7376-2026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46059</v>
      </c>
      <c r="E542" s="1" t="n">
        <v>46309</v>
      </c>
      <c r="F542" t="inlineStr">
        <is>
          <t>VÄRMLANDS LÄN</t>
        </is>
      </c>
      <c r="G542" t="inlineStr">
        <is>
          <t>SÄFFLE</t>
        </is>
      </c>
      <c r="I542" t="n">
        <v>4.6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39587-2025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45890</v>
      </c>
      <c r="E543" s="1" t="n">
        <v>46309</v>
      </c>
      <c r="F543" t="inlineStr">
        <is>
          <t>VÄRMLANDS LÄN</t>
        </is>
      </c>
      <c r="G543" t="inlineStr">
        <is>
          <t>SÄFFLE</t>
        </is>
      </c>
      <c r="I543" t="n">
        <v>1.9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37782-2024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45542</v>
      </c>
      <c r="E544" s="1" t="n">
        <v>46309</v>
      </c>
      <c r="F544" t="inlineStr">
        <is>
          <t>VÄRMLANDS LÄN</t>
        </is>
      </c>
      <c r="G544" t="inlineStr">
        <is>
          <t>SÄFFLE</t>
        </is>
      </c>
      <c r="I544" t="n">
        <v>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29589-2025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45825</v>
      </c>
      <c r="E545" s="1" t="n">
        <v>46309</v>
      </c>
      <c r="F545" t="inlineStr">
        <is>
          <t>VÄRMLANDS LÄN</t>
        </is>
      </c>
      <c r="G545" t="inlineStr">
        <is>
          <t>SÄFFLE</t>
        </is>
      </c>
      <c r="I545" t="n">
        <v>5.3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3950-2022</t>
        </is>
      </c>
      <c r="B546" t="inlineStr">
        <is>
          <t>avverkningsanmälan</t>
        </is>
      </c>
      <c r="C546" t="inlineStr">
        <is>
          <t>Avverkning för annat ändamål</t>
        </is>
      </c>
      <c r="D546" s="1" t="n">
        <v>44587</v>
      </c>
      <c r="E546" s="1" t="n">
        <v>46309</v>
      </c>
      <c r="F546" t="inlineStr">
        <is>
          <t>VÄRMLANDS LÄN</t>
        </is>
      </c>
      <c r="G546" t="inlineStr">
        <is>
          <t>SÄFFLE</t>
        </is>
      </c>
      <c r="I546" t="n">
        <v>0.9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7410-2022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44606</v>
      </c>
      <c r="E547" s="1" t="n">
        <v>46309</v>
      </c>
      <c r="F547" t="inlineStr">
        <is>
          <t>VÄRMLANDS LÄN</t>
        </is>
      </c>
      <c r="G547" t="inlineStr">
        <is>
          <t>SÄFFLE</t>
        </is>
      </c>
      <c r="I547" t="n">
        <v>4.3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55045-2024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45621</v>
      </c>
      <c r="E548" s="1" t="n">
        <v>46309</v>
      </c>
      <c r="F548" t="inlineStr">
        <is>
          <t>VÄRMLANDS LÄN</t>
        </is>
      </c>
      <c r="G548" t="inlineStr">
        <is>
          <t>SÄFFLE</t>
        </is>
      </c>
      <c r="I548" t="n">
        <v>3.5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2503-2024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45313</v>
      </c>
      <c r="E549" s="1" t="n">
        <v>46309</v>
      </c>
      <c r="F549" t="inlineStr">
        <is>
          <t>VÄRMLANDS LÄN</t>
        </is>
      </c>
      <c r="G549" t="inlineStr">
        <is>
          <t>SÄFFLE</t>
        </is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31985-2023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45107</v>
      </c>
      <c r="E550" s="1" t="n">
        <v>46309</v>
      </c>
      <c r="F550" t="inlineStr">
        <is>
          <t>VÄRMLANDS LÄN</t>
        </is>
      </c>
      <c r="G550" t="inlineStr">
        <is>
          <t>SÄFFLE</t>
        </is>
      </c>
      <c r="I550" t="n">
        <v>1.3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47808-2025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45931</v>
      </c>
      <c r="E551" s="1" t="n">
        <v>46309</v>
      </c>
      <c r="F551" t="inlineStr">
        <is>
          <t>VÄRMLANDS LÄN</t>
        </is>
      </c>
      <c r="G551" t="inlineStr">
        <is>
          <t>SÄFFLE</t>
        </is>
      </c>
      <c r="H551" t="inlineStr">
        <is>
          <t>Kyrkan</t>
        </is>
      </c>
      <c r="I551" t="n">
        <v>1.1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23669-2026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46164</v>
      </c>
      <c r="E552" s="1" t="n">
        <v>46309</v>
      </c>
      <c r="F552" t="inlineStr">
        <is>
          <t>VÄRMLANDS LÄN</t>
        </is>
      </c>
      <c r="G552" t="inlineStr">
        <is>
          <t>SÄFFLE</t>
        </is>
      </c>
      <c r="I552" t="n">
        <v>1.8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26110-2025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45805</v>
      </c>
      <c r="E553" s="1" t="n">
        <v>46309</v>
      </c>
      <c r="F553" t="inlineStr">
        <is>
          <t>VÄRMLANDS LÄN</t>
        </is>
      </c>
      <c r="G553" t="inlineStr">
        <is>
          <t>SÄFFLE</t>
        </is>
      </c>
      <c r="I553" t="n">
        <v>1.8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23667-2026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46164</v>
      </c>
      <c r="E554" s="1" t="n">
        <v>46309</v>
      </c>
      <c r="F554" t="inlineStr">
        <is>
          <t>VÄRMLANDS LÄN</t>
        </is>
      </c>
      <c r="G554" t="inlineStr">
        <is>
          <t>SÄFFLE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11944-2022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44635</v>
      </c>
      <c r="E555" s="1" t="n">
        <v>46309</v>
      </c>
      <c r="F555" t="inlineStr">
        <is>
          <t>VÄRMLANDS LÄN</t>
        </is>
      </c>
      <c r="G555" t="inlineStr">
        <is>
          <t>SÄFFLE</t>
        </is>
      </c>
      <c r="I555" t="n">
        <v>2.4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27821-2023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45098</v>
      </c>
      <c r="E556" s="1" t="n">
        <v>46309</v>
      </c>
      <c r="F556" t="inlineStr">
        <is>
          <t>VÄRMLANDS LÄN</t>
        </is>
      </c>
      <c r="G556" t="inlineStr">
        <is>
          <t>SÄFFLE</t>
        </is>
      </c>
      <c r="I556" t="n">
        <v>1.2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20520-2023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45057</v>
      </c>
      <c r="E557" s="1" t="n">
        <v>46309</v>
      </c>
      <c r="F557" t="inlineStr">
        <is>
          <t>VÄRMLANDS LÄN</t>
        </is>
      </c>
      <c r="G557" t="inlineStr">
        <is>
          <t>SÄFFLE</t>
        </is>
      </c>
      <c r="I557" t="n">
        <v>1.7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15691-2022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44663</v>
      </c>
      <c r="E558" s="1" t="n">
        <v>46309</v>
      </c>
      <c r="F558" t="inlineStr">
        <is>
          <t>VÄRMLANDS LÄN</t>
        </is>
      </c>
      <c r="G558" t="inlineStr">
        <is>
          <t>SÄFFLE</t>
        </is>
      </c>
      <c r="I558" t="n">
        <v>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24009-2026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46167</v>
      </c>
      <c r="E559" s="1" t="n">
        <v>46309</v>
      </c>
      <c r="F559" t="inlineStr">
        <is>
          <t>VÄRMLANDS LÄN</t>
        </is>
      </c>
      <c r="G559" t="inlineStr">
        <is>
          <t>SÄFFLE</t>
        </is>
      </c>
      <c r="I559" t="n">
        <v>2.3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7361-2025</t>
        </is>
      </c>
      <c r="B560" t="inlineStr">
        <is>
          <t>avverkningsanmälan</t>
        </is>
      </c>
      <c r="C560" t="inlineStr">
        <is>
          <t>Avverkning för annat ändamål</t>
        </is>
      </c>
      <c r="D560" s="1" t="n">
        <v>45704</v>
      </c>
      <c r="E560" s="1" t="n">
        <v>46309</v>
      </c>
      <c r="F560" t="inlineStr">
        <is>
          <t>VÄRMLANDS LÄN</t>
        </is>
      </c>
      <c r="G560" t="inlineStr">
        <is>
          <t>SÄFFLE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24563-2026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46170</v>
      </c>
      <c r="E561" s="1" t="n">
        <v>46309</v>
      </c>
      <c r="F561" t="inlineStr">
        <is>
          <t>VÄRMLANDS LÄN</t>
        </is>
      </c>
      <c r="G561" t="inlineStr">
        <is>
          <t>SÄFFLE</t>
        </is>
      </c>
      <c r="I561" t="n">
        <v>0.5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24573-2026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46170</v>
      </c>
      <c r="E562" s="1" t="n">
        <v>46309</v>
      </c>
      <c r="F562" t="inlineStr">
        <is>
          <t>VÄRMLANDS LÄN</t>
        </is>
      </c>
      <c r="G562" t="inlineStr">
        <is>
          <t>SÄFFLE</t>
        </is>
      </c>
      <c r="H562" t="inlineStr">
        <is>
          <t>Kommuner</t>
        </is>
      </c>
      <c r="I562" t="n">
        <v>0.7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35729-2023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45147</v>
      </c>
      <c r="E563" s="1" t="n">
        <v>46309</v>
      </c>
      <c r="F563" t="inlineStr">
        <is>
          <t>VÄRMLANDS LÄN</t>
        </is>
      </c>
      <c r="G563" t="inlineStr">
        <is>
          <t>SÄFFLE</t>
        </is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24554-2026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46170</v>
      </c>
      <c r="E564" s="1" t="n">
        <v>46309</v>
      </c>
      <c r="F564" t="inlineStr">
        <is>
          <t>VÄRMLANDS LÄN</t>
        </is>
      </c>
      <c r="G564" t="inlineStr">
        <is>
          <t>SÄFFLE</t>
        </is>
      </c>
      <c r="I564" t="n">
        <v>0.8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24546-2026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46170</v>
      </c>
      <c r="E565" s="1" t="n">
        <v>46309</v>
      </c>
      <c r="F565" t="inlineStr">
        <is>
          <t>VÄRMLANDS LÄN</t>
        </is>
      </c>
      <c r="G565" t="inlineStr">
        <is>
          <t>SÄFFLE</t>
        </is>
      </c>
      <c r="H565" t="inlineStr">
        <is>
          <t>Kommuner</t>
        </is>
      </c>
      <c r="I565" t="n">
        <v>1.9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24559-2026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46170</v>
      </c>
      <c r="E566" s="1" t="n">
        <v>46309</v>
      </c>
      <c r="F566" t="inlineStr">
        <is>
          <t>VÄRMLANDS LÄN</t>
        </is>
      </c>
      <c r="G566" t="inlineStr">
        <is>
          <t>SÄFFLE</t>
        </is>
      </c>
      <c r="I566" t="n">
        <v>2.3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46859-2024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45583</v>
      </c>
      <c r="E567" s="1" t="n">
        <v>46309</v>
      </c>
      <c r="F567" t="inlineStr">
        <is>
          <t>VÄRMLANDS LÄN</t>
        </is>
      </c>
      <c r="G567" t="inlineStr">
        <is>
          <t>SÄFFLE</t>
        </is>
      </c>
      <c r="I567" t="n">
        <v>8.300000000000001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24549-2026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46170</v>
      </c>
      <c r="E568" s="1" t="n">
        <v>46309</v>
      </c>
      <c r="F568" t="inlineStr">
        <is>
          <t>VÄRMLANDS LÄN</t>
        </is>
      </c>
      <c r="G568" t="inlineStr">
        <is>
          <t>SÄFFLE</t>
        </is>
      </c>
      <c r="I568" t="n">
        <v>2.9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25170-2026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46175</v>
      </c>
      <c r="E569" s="1" t="n">
        <v>46309</v>
      </c>
      <c r="F569" t="inlineStr">
        <is>
          <t>VÄRMLANDS LÄN</t>
        </is>
      </c>
      <c r="G569" t="inlineStr">
        <is>
          <t>SÄFFLE</t>
        </is>
      </c>
      <c r="I569" t="n">
        <v>5.1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51602-2023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45222</v>
      </c>
      <c r="E570" s="1" t="n">
        <v>46309</v>
      </c>
      <c r="F570" t="inlineStr">
        <is>
          <t>VÄRMLANDS LÄN</t>
        </is>
      </c>
      <c r="G570" t="inlineStr">
        <is>
          <t>SÄFFLE</t>
        </is>
      </c>
      <c r="I570" t="n">
        <v>0.4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30686-2022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44763</v>
      </c>
      <c r="E571" s="1" t="n">
        <v>46309</v>
      </c>
      <c r="F571" t="inlineStr">
        <is>
          <t>VÄRMLANDS LÄN</t>
        </is>
      </c>
      <c r="G571" t="inlineStr">
        <is>
          <t>SÄFFLE</t>
        </is>
      </c>
      <c r="H571" t="inlineStr">
        <is>
          <t>Kyrkan</t>
        </is>
      </c>
      <c r="I571" t="n">
        <v>1.6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24937-2026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46174</v>
      </c>
      <c r="E572" s="1" t="n">
        <v>46309</v>
      </c>
      <c r="F572" t="inlineStr">
        <is>
          <t>VÄRMLANDS LÄN</t>
        </is>
      </c>
      <c r="G572" t="inlineStr">
        <is>
          <t>SÄFFLE</t>
        </is>
      </c>
      <c r="H572" t="inlineStr">
        <is>
          <t>Kommuner</t>
        </is>
      </c>
      <c r="I572" t="n">
        <v>5.6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56498-2023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45237</v>
      </c>
      <c r="E573" s="1" t="n">
        <v>46309</v>
      </c>
      <c r="F573" t="inlineStr">
        <is>
          <t>VÄRMLANDS LÄN</t>
        </is>
      </c>
      <c r="G573" t="inlineStr">
        <is>
          <t>SÄFFLE</t>
        </is>
      </c>
      <c r="I573" t="n">
        <v>4.8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19273-2025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45769</v>
      </c>
      <c r="E574" s="1" t="n">
        <v>46309</v>
      </c>
      <c r="F574" t="inlineStr">
        <is>
          <t>VÄRMLANDS LÄN</t>
        </is>
      </c>
      <c r="G574" t="inlineStr">
        <is>
          <t>SÄFFLE</t>
        </is>
      </c>
      <c r="H574" t="inlineStr">
        <is>
          <t>Bergvik skog väst AB</t>
        </is>
      </c>
      <c r="I574" t="n">
        <v>11.6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40807-2023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45171</v>
      </c>
      <c r="E575" s="1" t="n">
        <v>46309</v>
      </c>
      <c r="F575" t="inlineStr">
        <is>
          <t>VÄRMLANDS LÄN</t>
        </is>
      </c>
      <c r="G575" t="inlineStr">
        <is>
          <t>SÄFFLE</t>
        </is>
      </c>
      <c r="I575" t="n">
        <v>1.6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25326-2026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46176</v>
      </c>
      <c r="E576" s="1" t="n">
        <v>46309</v>
      </c>
      <c r="F576" t="inlineStr">
        <is>
          <t>VÄRMLANDS LÄN</t>
        </is>
      </c>
      <c r="G576" t="inlineStr">
        <is>
          <t>SÄFFLE</t>
        </is>
      </c>
      <c r="I576" t="n">
        <v>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49520-2023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45211</v>
      </c>
      <c r="E577" s="1" t="n">
        <v>46309</v>
      </c>
      <c r="F577" t="inlineStr">
        <is>
          <t>VÄRMLANDS LÄN</t>
        </is>
      </c>
      <c r="G577" t="inlineStr">
        <is>
          <t>SÄFFLE</t>
        </is>
      </c>
      <c r="I577" t="n">
        <v>2.3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25459-2026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46177</v>
      </c>
      <c r="E578" s="1" t="n">
        <v>46309</v>
      </c>
      <c r="F578" t="inlineStr">
        <is>
          <t>VÄRMLANDS LÄN</t>
        </is>
      </c>
      <c r="G578" t="inlineStr">
        <is>
          <t>SÄFFLE</t>
        </is>
      </c>
      <c r="I578" t="n">
        <v>1.3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85-2025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45659</v>
      </c>
      <c r="E579" s="1" t="n">
        <v>46309</v>
      </c>
      <c r="F579" t="inlineStr">
        <is>
          <t>VÄRMLANDS LÄN</t>
        </is>
      </c>
      <c r="G579" t="inlineStr">
        <is>
          <t>SÄFFLE</t>
        </is>
      </c>
      <c r="I579" t="n">
        <v>0.8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49770-2023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45212</v>
      </c>
      <c r="E580" s="1" t="n">
        <v>46309</v>
      </c>
      <c r="F580" t="inlineStr">
        <is>
          <t>VÄRMLANDS LÄN</t>
        </is>
      </c>
      <c r="G580" t="inlineStr">
        <is>
          <t>SÄFFLE</t>
        </is>
      </c>
      <c r="I580" t="n">
        <v>7.1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40340-2022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44823</v>
      </c>
      <c r="E581" s="1" t="n">
        <v>46309</v>
      </c>
      <c r="F581" t="inlineStr">
        <is>
          <t>VÄRMLANDS LÄN</t>
        </is>
      </c>
      <c r="G581" t="inlineStr">
        <is>
          <t>SÄFFLE</t>
        </is>
      </c>
      <c r="I581" t="n">
        <v>5.3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3771-2025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45681</v>
      </c>
      <c r="E582" s="1" t="n">
        <v>46309</v>
      </c>
      <c r="F582" t="inlineStr">
        <is>
          <t>VÄRMLANDS LÄN</t>
        </is>
      </c>
      <c r="G582" t="inlineStr">
        <is>
          <t>SÄFFLE</t>
        </is>
      </c>
      <c r="I582" t="n">
        <v>3.7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45165-2023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45191</v>
      </c>
      <c r="E583" s="1" t="n">
        <v>46309</v>
      </c>
      <c r="F583" t="inlineStr">
        <is>
          <t>VÄRMLANDS LÄN</t>
        </is>
      </c>
      <c r="G583" t="inlineStr">
        <is>
          <t>SÄFFLE</t>
        </is>
      </c>
      <c r="I583" t="n">
        <v>1.7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6434-2025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45699</v>
      </c>
      <c r="E584" s="1" t="n">
        <v>46309</v>
      </c>
      <c r="F584" t="inlineStr">
        <is>
          <t>VÄRMLANDS LÄN</t>
        </is>
      </c>
      <c r="G584" t="inlineStr">
        <is>
          <t>SÄFFLE</t>
        </is>
      </c>
      <c r="H584" t="inlineStr">
        <is>
          <t>Bergvik skog väst AB</t>
        </is>
      </c>
      <c r="I584" t="n">
        <v>0.5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12232-2025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45729</v>
      </c>
      <c r="E585" s="1" t="n">
        <v>46309</v>
      </c>
      <c r="F585" t="inlineStr">
        <is>
          <t>VÄRMLANDS LÄN</t>
        </is>
      </c>
      <c r="G585" t="inlineStr">
        <is>
          <t>SÄFFLE</t>
        </is>
      </c>
      <c r="H585" t="inlineStr">
        <is>
          <t>Bergvik skog väst AB</t>
        </is>
      </c>
      <c r="I585" t="n">
        <v>1.1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53440-2023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45223</v>
      </c>
      <c r="E586" s="1" t="n">
        <v>46309</v>
      </c>
      <c r="F586" t="inlineStr">
        <is>
          <t>VÄRMLANDS LÄN</t>
        </is>
      </c>
      <c r="G586" t="inlineStr">
        <is>
          <t>SÄFFLE</t>
        </is>
      </c>
      <c r="I586" t="n">
        <v>19.1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26200-2026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46182</v>
      </c>
      <c r="E587" s="1" t="n">
        <v>46309</v>
      </c>
      <c r="F587" t="inlineStr">
        <is>
          <t>VÄRMLANDS LÄN</t>
        </is>
      </c>
      <c r="G587" t="inlineStr">
        <is>
          <t>SÄFFLE</t>
        </is>
      </c>
      <c r="I587" t="n">
        <v>1.8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32968-2024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45517</v>
      </c>
      <c r="E588" s="1" t="n">
        <v>46309</v>
      </c>
      <c r="F588" t="inlineStr">
        <is>
          <t>VÄRMLANDS LÄN</t>
        </is>
      </c>
      <c r="G588" t="inlineStr">
        <is>
          <t>SÄFFLE</t>
        </is>
      </c>
      <c r="I588" t="n">
        <v>2.1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63785-2023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45278</v>
      </c>
      <c r="E589" s="1" t="n">
        <v>46309</v>
      </c>
      <c r="F589" t="inlineStr">
        <is>
          <t>VÄRMLANDS LÄN</t>
        </is>
      </c>
      <c r="G589" t="inlineStr">
        <is>
          <t>SÄFFLE</t>
        </is>
      </c>
      <c r="H589" t="inlineStr">
        <is>
          <t>Kommuner</t>
        </is>
      </c>
      <c r="I589" t="n">
        <v>1.9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63803-2023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45278</v>
      </c>
      <c r="E590" s="1" t="n">
        <v>46309</v>
      </c>
      <c r="F590" t="inlineStr">
        <is>
          <t>VÄRMLANDS LÄN</t>
        </is>
      </c>
      <c r="G590" t="inlineStr">
        <is>
          <t>SÄFFLE</t>
        </is>
      </c>
      <c r="H590" t="inlineStr">
        <is>
          <t>Kommuner</t>
        </is>
      </c>
      <c r="I590" t="n">
        <v>2.6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292-2024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45295</v>
      </c>
      <c r="E591" s="1" t="n">
        <v>46309</v>
      </c>
      <c r="F591" t="inlineStr">
        <is>
          <t>VÄRMLANDS LÄN</t>
        </is>
      </c>
      <c r="G591" t="inlineStr">
        <is>
          <t>SÄFFLE</t>
        </is>
      </c>
      <c r="I591" t="n">
        <v>7.2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63807-2023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45278</v>
      </c>
      <c r="E592" s="1" t="n">
        <v>46309</v>
      </c>
      <c r="F592" t="inlineStr">
        <is>
          <t>VÄRMLANDS LÄN</t>
        </is>
      </c>
      <c r="G592" t="inlineStr">
        <is>
          <t>SÄFFLE</t>
        </is>
      </c>
      <c r="H592" t="inlineStr">
        <is>
          <t>Kommuner</t>
        </is>
      </c>
      <c r="I592" t="n">
        <v>0.7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42319-2023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45180</v>
      </c>
      <c r="E593" s="1" t="n">
        <v>46309</v>
      </c>
      <c r="F593" t="inlineStr">
        <is>
          <t>VÄRMLANDS LÄN</t>
        </is>
      </c>
      <c r="G593" t="inlineStr">
        <is>
          <t>SÄFFLE</t>
        </is>
      </c>
      <c r="I593" t="n">
        <v>0.4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12630-2025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45733</v>
      </c>
      <c r="E594" s="1" t="n">
        <v>46309</v>
      </c>
      <c r="F594" t="inlineStr">
        <is>
          <t>VÄRMLANDS LÄN</t>
        </is>
      </c>
      <c r="G594" t="inlineStr">
        <is>
          <t>SÄFFLE</t>
        </is>
      </c>
      <c r="I594" t="n">
        <v>1.4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11904-2025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45728</v>
      </c>
      <c r="E595" s="1" t="n">
        <v>46309</v>
      </c>
      <c r="F595" t="inlineStr">
        <is>
          <t>VÄRMLANDS LÄN</t>
        </is>
      </c>
      <c r="G595" t="inlineStr">
        <is>
          <t>SÄFFLE</t>
        </is>
      </c>
      <c r="I595" t="n">
        <v>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64368-2023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45278</v>
      </c>
      <c r="E596" s="1" t="n">
        <v>46309</v>
      </c>
      <c r="F596" t="inlineStr">
        <is>
          <t>VÄRMLANDS LÄN</t>
        </is>
      </c>
      <c r="G596" t="inlineStr">
        <is>
          <t>SÄFFLE</t>
        </is>
      </c>
      <c r="I596" t="n">
        <v>2.8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47336-2022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44853</v>
      </c>
      <c r="E597" s="1" t="n">
        <v>46309</v>
      </c>
      <c r="F597" t="inlineStr">
        <is>
          <t>VÄRMLANDS LÄN</t>
        </is>
      </c>
      <c r="G597" t="inlineStr">
        <is>
          <t>SÄFFLE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8114-2026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46062</v>
      </c>
      <c r="E598" s="1" t="n">
        <v>46309</v>
      </c>
      <c r="F598" t="inlineStr">
        <is>
          <t>VÄRMLANDS LÄN</t>
        </is>
      </c>
      <c r="G598" t="inlineStr">
        <is>
          <t>SÄFFLE</t>
        </is>
      </c>
      <c r="I598" t="n">
        <v>1.9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8766-2024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45352</v>
      </c>
      <c r="E599" s="1" t="n">
        <v>46309</v>
      </c>
      <c r="F599" t="inlineStr">
        <is>
          <t>VÄRMLANDS LÄN</t>
        </is>
      </c>
      <c r="G599" t="inlineStr">
        <is>
          <t>SÄFFLE</t>
        </is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5221-2024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45330</v>
      </c>
      <c r="E600" s="1" t="n">
        <v>46309</v>
      </c>
      <c r="F600" t="inlineStr">
        <is>
          <t>VÄRMLANDS LÄN</t>
        </is>
      </c>
      <c r="G600" t="inlineStr">
        <is>
          <t>SÄFFLE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10752-2023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44988</v>
      </c>
      <c r="E601" s="1" t="n">
        <v>46309</v>
      </c>
      <c r="F601" t="inlineStr">
        <is>
          <t>VÄRMLANDS LÄN</t>
        </is>
      </c>
      <c r="G601" t="inlineStr">
        <is>
          <t>SÄFFLE</t>
        </is>
      </c>
      <c r="I601" t="n">
        <v>0.7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60018-2023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45258</v>
      </c>
      <c r="E602" s="1" t="n">
        <v>46309</v>
      </c>
      <c r="F602" t="inlineStr">
        <is>
          <t>VÄRMLANDS LÄN</t>
        </is>
      </c>
      <c r="G602" t="inlineStr">
        <is>
          <t>SÄFFLE</t>
        </is>
      </c>
      <c r="I602" t="n">
        <v>5.6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1834-2023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44938</v>
      </c>
      <c r="E603" s="1" t="n">
        <v>46309</v>
      </c>
      <c r="F603" t="inlineStr">
        <is>
          <t>VÄRMLANDS LÄN</t>
        </is>
      </c>
      <c r="G603" t="inlineStr">
        <is>
          <t>SÄFFLE</t>
        </is>
      </c>
      <c r="I603" t="n">
        <v>10.7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63858-2021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44509</v>
      </c>
      <c r="E604" s="1" t="n">
        <v>46309</v>
      </c>
      <c r="F604" t="inlineStr">
        <is>
          <t>VÄRMLANDS LÄN</t>
        </is>
      </c>
      <c r="G604" t="inlineStr">
        <is>
          <t>SÄFFLE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61223-2023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45264</v>
      </c>
      <c r="E605" s="1" t="n">
        <v>46309</v>
      </c>
      <c r="F605" t="inlineStr">
        <is>
          <t>VÄRMLANDS LÄN</t>
        </is>
      </c>
      <c r="G605" t="inlineStr">
        <is>
          <t>SÄFFLE</t>
        </is>
      </c>
      <c r="I605" t="n">
        <v>4.3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47236-2022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44852</v>
      </c>
      <c r="E606" s="1" t="n">
        <v>46309</v>
      </c>
      <c r="F606" t="inlineStr">
        <is>
          <t>VÄRMLANDS LÄN</t>
        </is>
      </c>
      <c r="G606" t="inlineStr">
        <is>
          <t>SÄFFLE</t>
        </is>
      </c>
      <c r="I606" t="n">
        <v>1.6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27811-2023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45098</v>
      </c>
      <c r="E607" s="1" t="n">
        <v>46309</v>
      </c>
      <c r="F607" t="inlineStr">
        <is>
          <t>VÄRMLANDS LÄN</t>
        </is>
      </c>
      <c r="G607" t="inlineStr">
        <is>
          <t>SÄFFLE</t>
        </is>
      </c>
      <c r="I607" t="n">
        <v>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57153-2023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45239</v>
      </c>
      <c r="E608" s="1" t="n">
        <v>46309</v>
      </c>
      <c r="F608" t="inlineStr">
        <is>
          <t>VÄRMLANDS LÄN</t>
        </is>
      </c>
      <c r="G608" t="inlineStr">
        <is>
          <t>SÄFFLE</t>
        </is>
      </c>
      <c r="I608" t="n">
        <v>4.1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52081-2022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44868</v>
      </c>
      <c r="E609" s="1" t="n">
        <v>46309</v>
      </c>
      <c r="F609" t="inlineStr">
        <is>
          <t>VÄRMLANDS LÄN</t>
        </is>
      </c>
      <c r="G609" t="inlineStr">
        <is>
          <t>SÄFFLE</t>
        </is>
      </c>
      <c r="I609" t="n">
        <v>1.4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64824-2023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45281</v>
      </c>
      <c r="E610" s="1" t="n">
        <v>46309</v>
      </c>
      <c r="F610" t="inlineStr">
        <is>
          <t>VÄRMLANDS LÄN</t>
        </is>
      </c>
      <c r="G610" t="inlineStr">
        <is>
          <t>SÄFFLE</t>
        </is>
      </c>
      <c r="I610" t="n">
        <v>1.4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28951-2026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46191</v>
      </c>
      <c r="E611" s="1" t="n">
        <v>46309</v>
      </c>
      <c r="F611" t="inlineStr">
        <is>
          <t>VÄRMLANDS LÄN</t>
        </is>
      </c>
      <c r="G611" t="inlineStr">
        <is>
          <t>SÄFFLE</t>
        </is>
      </c>
      <c r="I611" t="n">
        <v>10.6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13773-2025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45736</v>
      </c>
      <c r="E612" s="1" t="n">
        <v>46309</v>
      </c>
      <c r="F612" t="inlineStr">
        <is>
          <t>VÄRMLANDS LÄN</t>
        </is>
      </c>
      <c r="G612" t="inlineStr">
        <is>
          <t>SÄFFLE</t>
        </is>
      </c>
      <c r="I612" t="n">
        <v>10.7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11914-2025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45728</v>
      </c>
      <c r="E613" s="1" t="n">
        <v>46309</v>
      </c>
      <c r="F613" t="inlineStr">
        <is>
          <t>VÄRMLANDS LÄN</t>
        </is>
      </c>
      <c r="G613" t="inlineStr">
        <is>
          <t>SÄFFLE</t>
        </is>
      </c>
      <c r="I613" t="n">
        <v>3.5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10379-2022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44623</v>
      </c>
      <c r="E614" s="1" t="n">
        <v>46309</v>
      </c>
      <c r="F614" t="inlineStr">
        <is>
          <t>VÄRMLANDS LÄN</t>
        </is>
      </c>
      <c r="G614" t="inlineStr">
        <is>
          <t>SÄFFLE</t>
        </is>
      </c>
      <c r="I614" t="n">
        <v>1.1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6768-2025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45700</v>
      </c>
      <c r="E615" s="1" t="n">
        <v>46309</v>
      </c>
      <c r="F615" t="inlineStr">
        <is>
          <t>VÄRMLANDS LÄN</t>
        </is>
      </c>
      <c r="G615" t="inlineStr">
        <is>
          <t>SÄFFLE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35117-2024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45527</v>
      </c>
      <c r="E616" s="1" t="n">
        <v>46309</v>
      </c>
      <c r="F616" t="inlineStr">
        <is>
          <t>VÄRMLANDS LÄN</t>
        </is>
      </c>
      <c r="G616" t="inlineStr">
        <is>
          <t>SÄFFLE</t>
        </is>
      </c>
      <c r="I616" t="n">
        <v>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930-2024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45301</v>
      </c>
      <c r="E617" s="1" t="n">
        <v>46309</v>
      </c>
      <c r="F617" t="inlineStr">
        <is>
          <t>VÄRMLANDS LÄN</t>
        </is>
      </c>
      <c r="G617" t="inlineStr">
        <is>
          <t>SÄFFLE</t>
        </is>
      </c>
      <c r="I617" t="n">
        <v>1.8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62550-2022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44924</v>
      </c>
      <c r="E618" s="1" t="n">
        <v>46309</v>
      </c>
      <c r="F618" t="inlineStr">
        <is>
          <t>VÄRMLANDS LÄN</t>
        </is>
      </c>
      <c r="G618" t="inlineStr">
        <is>
          <t>SÄFFLE</t>
        </is>
      </c>
      <c r="I618" t="n">
        <v>0.7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29520-2026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46203</v>
      </c>
      <c r="E619" s="1" t="n">
        <v>46309</v>
      </c>
      <c r="F619" t="inlineStr">
        <is>
          <t>VÄRMLANDS LÄN</t>
        </is>
      </c>
      <c r="G619" t="inlineStr">
        <is>
          <t>SÄFFLE</t>
        </is>
      </c>
      <c r="I619" t="n">
        <v>1.1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26802-2026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46183</v>
      </c>
      <c r="E620" s="1" t="n">
        <v>46309</v>
      </c>
      <c r="F620" t="inlineStr">
        <is>
          <t>VÄRMLANDS LÄN</t>
        </is>
      </c>
      <c r="G620" t="inlineStr">
        <is>
          <t>SÄFFLE</t>
        </is>
      </c>
      <c r="I620" t="n">
        <v>2.5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11935-2025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45728</v>
      </c>
      <c r="E621" s="1" t="n">
        <v>46309</v>
      </c>
      <c r="F621" t="inlineStr">
        <is>
          <t>VÄRMLANDS LÄN</t>
        </is>
      </c>
      <c r="G621" t="inlineStr">
        <is>
          <t>SÄFFLE</t>
        </is>
      </c>
      <c r="I621" t="n">
        <v>0.6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49528-2023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45211</v>
      </c>
      <c r="E622" s="1" t="n">
        <v>46309</v>
      </c>
      <c r="F622" t="inlineStr">
        <is>
          <t>VÄRMLANDS LÄN</t>
        </is>
      </c>
      <c r="G622" t="inlineStr">
        <is>
          <t>SÄFFLE</t>
        </is>
      </c>
      <c r="I622" t="n">
        <v>1.4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14200-2025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45740</v>
      </c>
      <c r="E623" s="1" t="n">
        <v>46309</v>
      </c>
      <c r="F623" t="inlineStr">
        <is>
          <t>VÄRMLANDS LÄN</t>
        </is>
      </c>
      <c r="G623" t="inlineStr">
        <is>
          <t>SÄFFLE</t>
        </is>
      </c>
      <c r="H623" t="inlineStr">
        <is>
          <t>Bergvik skog väst AB</t>
        </is>
      </c>
      <c r="I623" t="n">
        <v>1.8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14201-2025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45740</v>
      </c>
      <c r="E624" s="1" t="n">
        <v>46309</v>
      </c>
      <c r="F624" t="inlineStr">
        <is>
          <t>VÄRMLANDS LÄN</t>
        </is>
      </c>
      <c r="G624" t="inlineStr">
        <is>
          <t>SÄFFLE</t>
        </is>
      </c>
      <c r="H624" t="inlineStr">
        <is>
          <t>Bergvik skog väst AB</t>
        </is>
      </c>
      <c r="I624" t="n">
        <v>1.5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31020-2026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46206</v>
      </c>
      <c r="E625" s="1" t="n">
        <v>46309</v>
      </c>
      <c r="F625" t="inlineStr">
        <is>
          <t>VÄRMLANDS LÄN</t>
        </is>
      </c>
      <c r="G625" t="inlineStr">
        <is>
          <t>SÄFFLE</t>
        </is>
      </c>
      <c r="I625" t="n">
        <v>14.3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55054-2024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45621</v>
      </c>
      <c r="E626" s="1" t="n">
        <v>46309</v>
      </c>
      <c r="F626" t="inlineStr">
        <is>
          <t>VÄRMLANDS LÄN</t>
        </is>
      </c>
      <c r="G626" t="inlineStr">
        <is>
          <t>SÄFFLE</t>
        </is>
      </c>
      <c r="I626" t="n">
        <v>8.800000000000001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50042-2024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45597</v>
      </c>
      <c r="E627" s="1" t="n">
        <v>46309</v>
      </c>
      <c r="F627" t="inlineStr">
        <is>
          <t>VÄRMLANDS LÄN</t>
        </is>
      </c>
      <c r="G627" t="inlineStr">
        <is>
          <t>SÄFFLE</t>
        </is>
      </c>
      <c r="I627" t="n">
        <v>1.4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59708-2022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44900</v>
      </c>
      <c r="E628" s="1" t="n">
        <v>46309</v>
      </c>
      <c r="F628" t="inlineStr">
        <is>
          <t>VÄRMLANDS LÄN</t>
        </is>
      </c>
      <c r="G628" t="inlineStr">
        <is>
          <t>SÄFFLE</t>
        </is>
      </c>
      <c r="I628" t="n">
        <v>11.2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5468-2023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44960</v>
      </c>
      <c r="E629" s="1" t="n">
        <v>46309</v>
      </c>
      <c r="F629" t="inlineStr">
        <is>
          <t>VÄRMLANDS LÄN</t>
        </is>
      </c>
      <c r="G629" t="inlineStr">
        <is>
          <t>SÄFFLE</t>
        </is>
      </c>
      <c r="I629" t="n">
        <v>1.3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52174-2024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45608</v>
      </c>
      <c r="E630" s="1" t="n">
        <v>46309</v>
      </c>
      <c r="F630" t="inlineStr">
        <is>
          <t>VÄRMLANDS LÄN</t>
        </is>
      </c>
      <c r="G630" t="inlineStr">
        <is>
          <t>SÄFFLE</t>
        </is>
      </c>
      <c r="I630" t="n">
        <v>1.3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13891-2024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45391</v>
      </c>
      <c r="E631" s="1" t="n">
        <v>46309</v>
      </c>
      <c r="F631" t="inlineStr">
        <is>
          <t>VÄRMLANDS LÄN</t>
        </is>
      </c>
      <c r="G631" t="inlineStr">
        <is>
          <t>SÄFFLE</t>
        </is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30442-2026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46209</v>
      </c>
      <c r="E632" s="1" t="n">
        <v>46309</v>
      </c>
      <c r="F632" t="inlineStr">
        <is>
          <t>VÄRMLANDS LÄN</t>
        </is>
      </c>
      <c r="G632" t="inlineStr">
        <is>
          <t>SÄFFLE</t>
        </is>
      </c>
      <c r="I632" t="n">
        <v>2.8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30435-2026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46209</v>
      </c>
      <c r="E633" s="1" t="n">
        <v>46309</v>
      </c>
      <c r="F633" t="inlineStr">
        <is>
          <t>VÄRMLANDS LÄN</t>
        </is>
      </c>
      <c r="G633" t="inlineStr">
        <is>
          <t>SÄFFLE</t>
        </is>
      </c>
      <c r="I633" t="n">
        <v>3.1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30456-2026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46209</v>
      </c>
      <c r="E634" s="1" t="n">
        <v>46309</v>
      </c>
      <c r="F634" t="inlineStr">
        <is>
          <t>VÄRMLANDS LÄN</t>
        </is>
      </c>
      <c r="G634" t="inlineStr">
        <is>
          <t>SÄFFLE</t>
        </is>
      </c>
      <c r="I634" t="n">
        <v>0.9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15210-2026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46105</v>
      </c>
      <c r="E635" s="1" t="n">
        <v>46309</v>
      </c>
      <c r="F635" t="inlineStr">
        <is>
          <t>VÄRMLANDS LÄN</t>
        </is>
      </c>
      <c r="G635" t="inlineStr">
        <is>
          <t>SÄFFLE</t>
        </is>
      </c>
      <c r="I635" t="n">
        <v>1.2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30450-2026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46209</v>
      </c>
      <c r="E636" s="1" t="n">
        <v>46309</v>
      </c>
      <c r="F636" t="inlineStr">
        <is>
          <t>VÄRMLANDS LÄN</t>
        </is>
      </c>
      <c r="G636" t="inlineStr">
        <is>
          <t>SÄFFLE</t>
        </is>
      </c>
      <c r="I636" t="n">
        <v>1.9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23188-2024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45450</v>
      </c>
      <c r="E637" s="1" t="n">
        <v>46309</v>
      </c>
      <c r="F637" t="inlineStr">
        <is>
          <t>VÄRMLANDS LÄN</t>
        </is>
      </c>
      <c r="G637" t="inlineStr">
        <is>
          <t>SÄFFLE</t>
        </is>
      </c>
      <c r="H637" t="inlineStr">
        <is>
          <t>Bergvik skog väst AB</t>
        </is>
      </c>
      <c r="I637" t="n">
        <v>2.9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30455-2026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46209</v>
      </c>
      <c r="E638" s="1" t="n">
        <v>46309</v>
      </c>
      <c r="F638" t="inlineStr">
        <is>
          <t>VÄRMLANDS LÄN</t>
        </is>
      </c>
      <c r="G638" t="inlineStr">
        <is>
          <t>SÄFFLE</t>
        </is>
      </c>
      <c r="I638" t="n">
        <v>1.3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18106-2023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45040</v>
      </c>
      <c r="E639" s="1" t="n">
        <v>46309</v>
      </c>
      <c r="F639" t="inlineStr">
        <is>
          <t>VÄRMLANDS LÄN</t>
        </is>
      </c>
      <c r="G639" t="inlineStr">
        <is>
          <t>SÄFFLE</t>
        </is>
      </c>
      <c r="I639" t="n">
        <v>2.7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30438-2026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46209</v>
      </c>
      <c r="E640" s="1" t="n">
        <v>46309</v>
      </c>
      <c r="F640" t="inlineStr">
        <is>
          <t>VÄRMLANDS LÄN</t>
        </is>
      </c>
      <c r="G640" t="inlineStr">
        <is>
          <t>SÄFFLE</t>
        </is>
      </c>
      <c r="I640" t="n">
        <v>0.7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40799-2022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44824</v>
      </c>
      <c r="E641" s="1" t="n">
        <v>46309</v>
      </c>
      <c r="F641" t="inlineStr">
        <is>
          <t>VÄRMLANDS LÄN</t>
        </is>
      </c>
      <c r="G641" t="inlineStr">
        <is>
          <t>SÄFFLE</t>
        </is>
      </c>
      <c r="I641" t="n">
        <v>11.4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43995-2024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45572</v>
      </c>
      <c r="E642" s="1" t="n">
        <v>46309</v>
      </c>
      <c r="F642" t="inlineStr">
        <is>
          <t>VÄRMLANDS LÄN</t>
        </is>
      </c>
      <c r="G642" t="inlineStr">
        <is>
          <t>SÄFFLE</t>
        </is>
      </c>
      <c r="I642" t="n">
        <v>1.9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27985-2022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44745</v>
      </c>
      <c r="E643" s="1" t="n">
        <v>46309</v>
      </c>
      <c r="F643" t="inlineStr">
        <is>
          <t>VÄRMLANDS LÄN</t>
        </is>
      </c>
      <c r="G643" t="inlineStr">
        <is>
          <t>SÄFFLE</t>
        </is>
      </c>
      <c r="I643" t="n">
        <v>1.6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62641-2023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45271</v>
      </c>
      <c r="E644" s="1" t="n">
        <v>46309</v>
      </c>
      <c r="F644" t="inlineStr">
        <is>
          <t>VÄRMLANDS LÄN</t>
        </is>
      </c>
      <c r="G644" t="inlineStr">
        <is>
          <t>SÄFFLE</t>
        </is>
      </c>
      <c r="I644" t="n">
        <v>3.3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30681-2022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44763</v>
      </c>
      <c r="E645" s="1" t="n">
        <v>46309</v>
      </c>
      <c r="F645" t="inlineStr">
        <is>
          <t>VÄRMLANDS LÄN</t>
        </is>
      </c>
      <c r="G645" t="inlineStr">
        <is>
          <t>SÄFFLE</t>
        </is>
      </c>
      <c r="H645" t="inlineStr">
        <is>
          <t>Kyrkan</t>
        </is>
      </c>
      <c r="I645" t="n">
        <v>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17916-2024</t>
        </is>
      </c>
      <c r="B646" t="inlineStr">
        <is>
          <t>avverkningsanmälan</t>
        </is>
      </c>
      <c r="C646" t="inlineStr">
        <is>
          <t>Avverkning för annat ändamål</t>
        </is>
      </c>
      <c r="D646" s="1" t="n">
        <v>45419</v>
      </c>
      <c r="E646" s="1" t="n">
        <v>46309</v>
      </c>
      <c r="F646" t="inlineStr">
        <is>
          <t>VÄRMLANDS LÄN</t>
        </is>
      </c>
      <c r="G646" t="inlineStr">
        <is>
          <t>SÄFFLE</t>
        </is>
      </c>
      <c r="I646" t="n">
        <v>1.5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73662-2021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44552</v>
      </c>
      <c r="E647" s="1" t="n">
        <v>46309</v>
      </c>
      <c r="F647" t="inlineStr">
        <is>
          <t>VÄRMLANDS LÄN</t>
        </is>
      </c>
      <c r="G647" t="inlineStr">
        <is>
          <t>SÄFFLE</t>
        </is>
      </c>
      <c r="I647" t="n">
        <v>1.9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21563-2023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45063</v>
      </c>
      <c r="E648" s="1" t="n">
        <v>46309</v>
      </c>
      <c r="F648" t="inlineStr">
        <is>
          <t>VÄRMLANDS LÄN</t>
        </is>
      </c>
      <c r="G648" t="inlineStr">
        <is>
          <t>SÄFFLE</t>
        </is>
      </c>
      <c r="I648" t="n">
        <v>1.1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13493-2024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45387</v>
      </c>
      <c r="E649" s="1" t="n">
        <v>46309</v>
      </c>
      <c r="F649" t="inlineStr">
        <is>
          <t>VÄRMLANDS LÄN</t>
        </is>
      </c>
      <c r="G649" t="inlineStr">
        <is>
          <t>SÄFFLE</t>
        </is>
      </c>
      <c r="H649" t="inlineStr">
        <is>
          <t>Bergvik skog väst AB</t>
        </is>
      </c>
      <c r="I649" t="n">
        <v>0.8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15632-2024</t>
        </is>
      </c>
      <c r="B650" t="inlineStr">
        <is>
          <t>avverkningsanmälan</t>
        </is>
      </c>
      <c r="C650" t="inlineStr">
        <is>
          <t>Avverkning för att bevara och utveckla /försöksver</t>
        </is>
      </c>
      <c r="D650" s="1" t="n">
        <v>45403</v>
      </c>
      <c r="E650" s="1" t="n">
        <v>46309</v>
      </c>
      <c r="F650" t="inlineStr">
        <is>
          <t>VÄRMLANDS LÄN</t>
        </is>
      </c>
      <c r="G650" t="inlineStr">
        <is>
          <t>SÄFFLE</t>
        </is>
      </c>
      <c r="I650" t="n">
        <v>2.1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16484-2022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44671</v>
      </c>
      <c r="E651" s="1" t="n">
        <v>46309</v>
      </c>
      <c r="F651" t="inlineStr">
        <is>
          <t>VÄRMLANDS LÄN</t>
        </is>
      </c>
      <c r="G651" t="inlineStr">
        <is>
          <t>SÄFFLE</t>
        </is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58653-2023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45251</v>
      </c>
      <c r="E652" s="1" t="n">
        <v>46309</v>
      </c>
      <c r="F652" t="inlineStr">
        <is>
          <t>VÄRMLANDS LÄN</t>
        </is>
      </c>
      <c r="G652" t="inlineStr">
        <is>
          <t>SÄFFLE</t>
        </is>
      </c>
      <c r="I652" t="n">
        <v>1.4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61677-2021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44501</v>
      </c>
      <c r="E653" s="1" t="n">
        <v>46309</v>
      </c>
      <c r="F653" t="inlineStr">
        <is>
          <t>VÄRMLANDS LÄN</t>
        </is>
      </c>
      <c r="G653" t="inlineStr">
        <is>
          <t>SÄFFLE</t>
        </is>
      </c>
      <c r="I653" t="n">
        <v>0.8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60073-2022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44909</v>
      </c>
      <c r="E654" s="1" t="n">
        <v>46309</v>
      </c>
      <c r="F654" t="inlineStr">
        <is>
          <t>VÄRMLANDS LÄN</t>
        </is>
      </c>
      <c r="G654" t="inlineStr">
        <is>
          <t>SÄFFLE</t>
        </is>
      </c>
      <c r="I654" t="n">
        <v>1.8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16494-2022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44671</v>
      </c>
      <c r="E655" s="1" t="n">
        <v>46309</v>
      </c>
      <c r="F655" t="inlineStr">
        <is>
          <t>VÄRMLANDS LÄN</t>
        </is>
      </c>
      <c r="G655" t="inlineStr">
        <is>
          <t>SÄFFLE</t>
        </is>
      </c>
      <c r="I655" t="n">
        <v>0.9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32747-2024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45516</v>
      </c>
      <c r="E656" s="1" t="n">
        <v>46309</v>
      </c>
      <c r="F656" t="inlineStr">
        <is>
          <t>VÄRMLANDS LÄN</t>
        </is>
      </c>
      <c r="G656" t="inlineStr">
        <is>
          <t>SÄFFLE</t>
        </is>
      </c>
      <c r="I656" t="n">
        <v>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32751-2024</t>
        </is>
      </c>
      <c r="B657" t="inlineStr">
        <is>
          <t>avverkningsanmälan</t>
        </is>
      </c>
      <c r="C657" t="inlineStr">
        <is>
          <t>Avverkning för annat ändamål</t>
        </is>
      </c>
      <c r="D657" s="1" t="n">
        <v>45516</v>
      </c>
      <c r="E657" s="1" t="n">
        <v>46309</v>
      </c>
      <c r="F657" t="inlineStr">
        <is>
          <t>VÄRMLANDS LÄN</t>
        </is>
      </c>
      <c r="G657" t="inlineStr">
        <is>
          <t>SÄFFLE</t>
        </is>
      </c>
      <c r="I657" t="n">
        <v>3.6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31945-2022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44777</v>
      </c>
      <c r="E658" s="1" t="n">
        <v>46309</v>
      </c>
      <c r="F658" t="inlineStr">
        <is>
          <t>VÄRMLANDS LÄN</t>
        </is>
      </c>
      <c r="G658" t="inlineStr">
        <is>
          <t>SÄFFLE</t>
        </is>
      </c>
      <c r="I658" t="n">
        <v>1.3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18469-2024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45425</v>
      </c>
      <c r="E659" s="1" t="n">
        <v>46309</v>
      </c>
      <c r="F659" t="inlineStr">
        <is>
          <t>VÄRMLANDS LÄN</t>
        </is>
      </c>
      <c r="G659" t="inlineStr">
        <is>
          <t>SÄFFLE</t>
        </is>
      </c>
      <c r="I659" t="n">
        <v>7.9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14465-2023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45012</v>
      </c>
      <c r="E660" s="1" t="n">
        <v>46309</v>
      </c>
      <c r="F660" t="inlineStr">
        <is>
          <t>VÄRMLANDS LÄN</t>
        </is>
      </c>
      <c r="G660" t="inlineStr">
        <is>
          <t>SÄFFLE</t>
        </is>
      </c>
      <c r="I660" t="n">
        <v>1.4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58383-2021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44488</v>
      </c>
      <c r="E661" s="1" t="n">
        <v>46309</v>
      </c>
      <c r="F661" t="inlineStr">
        <is>
          <t>VÄRMLANDS LÄN</t>
        </is>
      </c>
      <c r="G661" t="inlineStr">
        <is>
          <t>SÄFFLE</t>
        </is>
      </c>
      <c r="I661" t="n">
        <v>2.3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49979-2024</t>
        </is>
      </c>
      <c r="B662" t="inlineStr">
        <is>
          <t>avverkningsanmälan</t>
        </is>
      </c>
      <c r="C662" t="inlineStr">
        <is>
          <t>Avverkning för annat ändamål</t>
        </is>
      </c>
      <c r="D662" s="1" t="n">
        <v>45597</v>
      </c>
      <c r="E662" s="1" t="n">
        <v>46309</v>
      </c>
      <c r="F662" t="inlineStr">
        <is>
          <t>VÄRMLANDS LÄN</t>
        </is>
      </c>
      <c r="G662" t="inlineStr">
        <is>
          <t>SÄFFLE</t>
        </is>
      </c>
      <c r="I662" t="n">
        <v>2.8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36464-2026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46269</v>
      </c>
      <c r="E663" s="1" t="n">
        <v>46309</v>
      </c>
      <c r="F663" t="inlineStr">
        <is>
          <t>VÄRMLANDS LÄN</t>
        </is>
      </c>
      <c r="G663" t="inlineStr">
        <is>
          <t>SÄFFLE</t>
        </is>
      </c>
      <c r="I663" t="n">
        <v>0.7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36513-2026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46269</v>
      </c>
      <c r="E664" s="1" t="n">
        <v>46309</v>
      </c>
      <c r="F664" t="inlineStr">
        <is>
          <t>VÄRMLANDS LÄN</t>
        </is>
      </c>
      <c r="G664" t="inlineStr">
        <is>
          <t>SÄFFLE</t>
        </is>
      </c>
      <c r="I664" t="n">
        <v>1.9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18424-2024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45425</v>
      </c>
      <c r="E665" s="1" t="n">
        <v>46309</v>
      </c>
      <c r="F665" t="inlineStr">
        <is>
          <t>VÄRMLANDS LÄN</t>
        </is>
      </c>
      <c r="G665" t="inlineStr">
        <is>
          <t>SÄFFLE</t>
        </is>
      </c>
      <c r="I665" t="n">
        <v>2.1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36972-2026</t>
        </is>
      </c>
      <c r="B666" t="inlineStr">
        <is>
          <t>avverkningsanmälan</t>
        </is>
      </c>
      <c r="C666" t="inlineStr">
        <is>
          <t>Avverkning för annat ändamål</t>
        </is>
      </c>
      <c r="D666" s="1" t="n">
        <v>46273</v>
      </c>
      <c r="E666" s="1" t="n">
        <v>46309</v>
      </c>
      <c r="F666" t="inlineStr">
        <is>
          <t>VÄRMLANDS LÄN</t>
        </is>
      </c>
      <c r="G666" t="inlineStr">
        <is>
          <t>SÄFFLE</t>
        </is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43894-2024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45572</v>
      </c>
      <c r="E667" s="1" t="n">
        <v>46309</v>
      </c>
      <c r="F667" t="inlineStr">
        <is>
          <t>VÄRMLANDS LÄN</t>
        </is>
      </c>
      <c r="G667" t="inlineStr">
        <is>
          <t>SÄFFLE</t>
        </is>
      </c>
      <c r="I667" t="n">
        <v>2.5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7876-2022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44608</v>
      </c>
      <c r="E668" s="1" t="n">
        <v>46309</v>
      </c>
      <c r="F668" t="inlineStr">
        <is>
          <t>VÄRMLANDS LÄN</t>
        </is>
      </c>
      <c r="G668" t="inlineStr">
        <is>
          <t>SÄFFLE</t>
        </is>
      </c>
      <c r="I668" t="n">
        <v>2.9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18228-2023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45040</v>
      </c>
      <c r="E669" s="1" t="n">
        <v>46309</v>
      </c>
      <c r="F669" t="inlineStr">
        <is>
          <t>VÄRMLANDS LÄN</t>
        </is>
      </c>
      <c r="G669" t="inlineStr">
        <is>
          <t>SÄFFLE</t>
        </is>
      </c>
      <c r="I669" t="n">
        <v>1.9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4848-2023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44952</v>
      </c>
      <c r="E670" s="1" t="n">
        <v>46309</v>
      </c>
      <c r="F670" t="inlineStr">
        <is>
          <t>VÄRMLANDS LÄN</t>
        </is>
      </c>
      <c r="G670" t="inlineStr">
        <is>
          <t>SÄFFLE</t>
        </is>
      </c>
      <c r="I670" t="n">
        <v>3.4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55274-2023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45237</v>
      </c>
      <c r="E671" s="1" t="n">
        <v>46309</v>
      </c>
      <c r="F671" t="inlineStr">
        <is>
          <t>VÄRMLANDS LÄN</t>
        </is>
      </c>
      <c r="G671" t="inlineStr">
        <is>
          <t>SÄFFLE</t>
        </is>
      </c>
      <c r="I671" t="n">
        <v>0.7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40466-2024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45555</v>
      </c>
      <c r="E672" s="1" t="n">
        <v>46309</v>
      </c>
      <c r="F672" t="inlineStr">
        <is>
          <t>VÄRMLANDS LÄN</t>
        </is>
      </c>
      <c r="G672" t="inlineStr">
        <is>
          <t>SÄFFLE</t>
        </is>
      </c>
      <c r="I672" t="n">
        <v>17.3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58020-2024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45631</v>
      </c>
      <c r="E673" s="1" t="n">
        <v>46309</v>
      </c>
      <c r="F673" t="inlineStr">
        <is>
          <t>VÄRMLANDS LÄN</t>
        </is>
      </c>
      <c r="G673" t="inlineStr">
        <is>
          <t>SÄFFLE</t>
        </is>
      </c>
      <c r="I673" t="n">
        <v>0.6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29508-2023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45106</v>
      </c>
      <c r="E674" s="1" t="n">
        <v>46309</v>
      </c>
      <c r="F674" t="inlineStr">
        <is>
          <t>VÄRMLANDS LÄN</t>
        </is>
      </c>
      <c r="G674" t="inlineStr">
        <is>
          <t>SÄFFLE</t>
        </is>
      </c>
      <c r="I674" t="n">
        <v>0.6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36966-2026</t>
        </is>
      </c>
      <c r="B675" t="inlineStr">
        <is>
          <t>avverkningsanmälan</t>
        </is>
      </c>
      <c r="C675" t="inlineStr">
        <is>
          <t>Avverkning för annat ändamål</t>
        </is>
      </c>
      <c r="D675" s="1" t="n">
        <v>46273</v>
      </c>
      <c r="E675" s="1" t="n">
        <v>46309</v>
      </c>
      <c r="F675" t="inlineStr">
        <is>
          <t>VÄRMLANDS LÄN</t>
        </is>
      </c>
      <c r="G675" t="inlineStr">
        <is>
          <t>SÄFFLE</t>
        </is>
      </c>
      <c r="I675" t="n">
        <v>8.1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19952-2024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45433</v>
      </c>
      <c r="E676" s="1" t="n">
        <v>46309</v>
      </c>
      <c r="F676" t="inlineStr">
        <is>
          <t>VÄRMLANDS LÄN</t>
        </is>
      </c>
      <c r="G676" t="inlineStr">
        <is>
          <t>SÄFFLE</t>
        </is>
      </c>
      <c r="I676" t="n">
        <v>2.5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27231-2024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45471</v>
      </c>
      <c r="E677" s="1" t="n">
        <v>46309</v>
      </c>
      <c r="F677" t="inlineStr">
        <is>
          <t>VÄRMLANDS LÄN</t>
        </is>
      </c>
      <c r="G677" t="inlineStr">
        <is>
          <t>SÄFFLE</t>
        </is>
      </c>
      <c r="I677" t="n">
        <v>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32064-2026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46233</v>
      </c>
      <c r="E678" s="1" t="n">
        <v>46309</v>
      </c>
      <c r="F678" t="inlineStr">
        <is>
          <t>VÄRMLANDS LÄN</t>
        </is>
      </c>
      <c r="G678" t="inlineStr">
        <is>
          <t>SÄFFLE</t>
        </is>
      </c>
      <c r="I678" t="n">
        <v>3.4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31939-2026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46232</v>
      </c>
      <c r="E679" s="1" t="n">
        <v>46309</v>
      </c>
      <c r="F679" t="inlineStr">
        <is>
          <t>VÄRMLANDS LÄN</t>
        </is>
      </c>
      <c r="G679" t="inlineStr">
        <is>
          <t>SÄFFLE</t>
        </is>
      </c>
      <c r="I679" t="n">
        <v>0.6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11398-2024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45372</v>
      </c>
      <c r="E680" s="1" t="n">
        <v>46309</v>
      </c>
      <c r="F680" t="inlineStr">
        <is>
          <t>VÄRMLANDS LÄN</t>
        </is>
      </c>
      <c r="G680" t="inlineStr">
        <is>
          <t>SÄFFLE</t>
        </is>
      </c>
      <c r="H680" t="inlineStr">
        <is>
          <t>Bergvik skog väst AB</t>
        </is>
      </c>
      <c r="I680" t="n">
        <v>0.7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57089-2023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45245</v>
      </c>
      <c r="E681" s="1" t="n">
        <v>46309</v>
      </c>
      <c r="F681" t="inlineStr">
        <is>
          <t>VÄRMLANDS LÄN</t>
        </is>
      </c>
      <c r="G681" t="inlineStr">
        <is>
          <t>SÄFFLE</t>
        </is>
      </c>
      <c r="H681" t="inlineStr">
        <is>
          <t>Bergvik skog väst AB</t>
        </is>
      </c>
      <c r="I681" t="n">
        <v>0.5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31935-2026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46232</v>
      </c>
      <c r="E682" s="1" t="n">
        <v>46309</v>
      </c>
      <c r="F682" t="inlineStr">
        <is>
          <t>VÄRMLANDS LÄN</t>
        </is>
      </c>
      <c r="G682" t="inlineStr">
        <is>
          <t>SÄFFLE</t>
        </is>
      </c>
      <c r="I682" t="n">
        <v>5.3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14436-2024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45394</v>
      </c>
      <c r="E683" s="1" t="n">
        <v>46309</v>
      </c>
      <c r="F683" t="inlineStr">
        <is>
          <t>VÄRMLANDS LÄN</t>
        </is>
      </c>
      <c r="G683" t="inlineStr">
        <is>
          <t>SÄFFLE</t>
        </is>
      </c>
      <c r="I683" t="n">
        <v>5.6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31937-2026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46232</v>
      </c>
      <c r="E684" s="1" t="n">
        <v>46309</v>
      </c>
      <c r="F684" t="inlineStr">
        <is>
          <t>VÄRMLANDS LÄN</t>
        </is>
      </c>
      <c r="G684" t="inlineStr">
        <is>
          <t>SÄFFLE</t>
        </is>
      </c>
      <c r="I684" t="n">
        <v>1.3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37730-2026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46279</v>
      </c>
      <c r="E685" s="1" t="n">
        <v>46309</v>
      </c>
      <c r="F685" t="inlineStr">
        <is>
          <t>VÄRMLANDS LÄN</t>
        </is>
      </c>
      <c r="G685" t="inlineStr">
        <is>
          <t>SÄFFLE</t>
        </is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59203-2023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45253</v>
      </c>
      <c r="E686" s="1" t="n">
        <v>46309</v>
      </c>
      <c r="F686" t="inlineStr">
        <is>
          <t>VÄRMLANDS LÄN</t>
        </is>
      </c>
      <c r="G686" t="inlineStr">
        <is>
          <t>SÄFFLE</t>
        </is>
      </c>
      <c r="I686" t="n">
        <v>4.8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37733-2026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46279</v>
      </c>
      <c r="E687" s="1" t="n">
        <v>46309</v>
      </c>
      <c r="F687" t="inlineStr">
        <is>
          <t>VÄRMLANDS LÄN</t>
        </is>
      </c>
      <c r="G687" t="inlineStr">
        <is>
          <t>SÄFFLE</t>
        </is>
      </c>
      <c r="I687" t="n">
        <v>0.8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32206-2026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46237</v>
      </c>
      <c r="E688" s="1" t="n">
        <v>46309</v>
      </c>
      <c r="F688" t="inlineStr">
        <is>
          <t>VÄRMLANDS LÄN</t>
        </is>
      </c>
      <c r="G688" t="inlineStr">
        <is>
          <t>SÄFFLE</t>
        </is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37306-2023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45156</v>
      </c>
      <c r="E689" s="1" t="n">
        <v>46309</v>
      </c>
      <c r="F689" t="inlineStr">
        <is>
          <t>VÄRMLANDS LÄN</t>
        </is>
      </c>
      <c r="G689" t="inlineStr">
        <is>
          <t>SÄFFLE</t>
        </is>
      </c>
      <c r="I689" t="n">
        <v>2.6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32078-2023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45107</v>
      </c>
      <c r="E690" s="1" t="n">
        <v>46309</v>
      </c>
      <c r="F690" t="inlineStr">
        <is>
          <t>VÄRMLANDS LÄN</t>
        </is>
      </c>
      <c r="G690" t="inlineStr">
        <is>
          <t>SÄFFLE</t>
        </is>
      </c>
      <c r="I690" t="n">
        <v>3.3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12134-2023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44998</v>
      </c>
      <c r="E691" s="1" t="n">
        <v>46309</v>
      </c>
      <c r="F691" t="inlineStr">
        <is>
          <t>VÄRMLANDS LÄN</t>
        </is>
      </c>
      <c r="G691" t="inlineStr">
        <is>
          <t>SÄFFLE</t>
        </is>
      </c>
      <c r="I691" t="n">
        <v>11.1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40630-2022</t>
        </is>
      </c>
      <c r="B692" t="inlineStr">
        <is>
          <t>avverkningsanmälan</t>
        </is>
      </c>
      <c r="C692" t="inlineStr">
        <is>
          <t>Avverkning för annat ändamål</t>
        </is>
      </c>
      <c r="D692" s="1" t="n">
        <v>44823</v>
      </c>
      <c r="E692" s="1" t="n">
        <v>46309</v>
      </c>
      <c r="F692" t="inlineStr">
        <is>
          <t>VÄRMLANDS LÄN</t>
        </is>
      </c>
      <c r="G692" t="inlineStr">
        <is>
          <t>SÄFFLE</t>
        </is>
      </c>
      <c r="I692" t="n">
        <v>1.5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32197-2026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46237</v>
      </c>
      <c r="E693" s="1" t="n">
        <v>46309</v>
      </c>
      <c r="F693" t="inlineStr">
        <is>
          <t>VÄRMLANDS LÄN</t>
        </is>
      </c>
      <c r="G693" t="inlineStr">
        <is>
          <t>SÄFFLE</t>
        </is>
      </c>
      <c r="I693" t="n">
        <v>1.8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32210-2026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46237</v>
      </c>
      <c r="E694" s="1" t="n">
        <v>46309</v>
      </c>
      <c r="F694" t="inlineStr">
        <is>
          <t>VÄRMLANDS LÄN</t>
        </is>
      </c>
      <c r="G694" t="inlineStr">
        <is>
          <t>SÄFFLE</t>
        </is>
      </c>
      <c r="I694" t="n">
        <v>1.2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37755-2026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46279</v>
      </c>
      <c r="E695" s="1" t="n">
        <v>46309</v>
      </c>
      <c r="F695" t="inlineStr">
        <is>
          <t>VÄRMLANDS LÄN</t>
        </is>
      </c>
      <c r="G695" t="inlineStr">
        <is>
          <t>SÄFFLE</t>
        </is>
      </c>
      <c r="I695" t="n">
        <v>0.7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32199-2026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46237</v>
      </c>
      <c r="E696" s="1" t="n">
        <v>46309</v>
      </c>
      <c r="F696" t="inlineStr">
        <is>
          <t>VÄRMLANDS LÄN</t>
        </is>
      </c>
      <c r="G696" t="inlineStr">
        <is>
          <t>SÄFFLE</t>
        </is>
      </c>
      <c r="I696" t="n">
        <v>1.3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32200-2026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46237</v>
      </c>
      <c r="E697" s="1" t="n">
        <v>46309</v>
      </c>
      <c r="F697" t="inlineStr">
        <is>
          <t>VÄRMLANDS LÄN</t>
        </is>
      </c>
      <c r="G697" t="inlineStr">
        <is>
          <t>SÄFFLE</t>
        </is>
      </c>
      <c r="I697" t="n">
        <v>1.3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24347-2024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45457</v>
      </c>
      <c r="E698" s="1" t="n">
        <v>46309</v>
      </c>
      <c r="F698" t="inlineStr">
        <is>
          <t>VÄRMLANDS LÄN</t>
        </is>
      </c>
      <c r="G698" t="inlineStr">
        <is>
          <t>SÄFFLE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16802-2026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46113</v>
      </c>
      <c r="E699" s="1" t="n">
        <v>46309</v>
      </c>
      <c r="F699" t="inlineStr">
        <is>
          <t>VÄRMLANDS LÄN</t>
        </is>
      </c>
      <c r="G699" t="inlineStr">
        <is>
          <t>SÄFFLE</t>
        </is>
      </c>
      <c r="I699" t="n">
        <v>16.2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336-2023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44929</v>
      </c>
      <c r="E700" s="1" t="n">
        <v>46309</v>
      </c>
      <c r="F700" t="inlineStr">
        <is>
          <t>VÄRMLANDS LÄN</t>
        </is>
      </c>
      <c r="G700" t="inlineStr">
        <is>
          <t>SÄFFLE</t>
        </is>
      </c>
      <c r="I700" t="n">
        <v>0.7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38256-2026</t>
        </is>
      </c>
      <c r="B701" t="inlineStr">
        <is>
          <t>avverkningsanmälan</t>
        </is>
      </c>
      <c r="C701" t="inlineStr">
        <is>
          <t>Avverkning för annat ändamål</t>
        </is>
      </c>
      <c r="D701" s="1" t="n">
        <v>46281</v>
      </c>
      <c r="E701" s="1" t="n">
        <v>46309</v>
      </c>
      <c r="F701" t="inlineStr">
        <is>
          <t>VÄRMLANDS LÄN</t>
        </is>
      </c>
      <c r="G701" t="inlineStr">
        <is>
          <t>SÄFFLE</t>
        </is>
      </c>
      <c r="I701" t="n">
        <v>1.7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33993-2024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45523</v>
      </c>
      <c r="E702" s="1" t="n">
        <v>46309</v>
      </c>
      <c r="F702" t="inlineStr">
        <is>
          <t>VÄRMLANDS LÄN</t>
        </is>
      </c>
      <c r="G702" t="inlineStr">
        <is>
          <t>SÄFFLE</t>
        </is>
      </c>
      <c r="I702" t="n">
        <v>4.8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9282-2024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45358</v>
      </c>
      <c r="E703" s="1" t="n">
        <v>46309</v>
      </c>
      <c r="F703" t="inlineStr">
        <is>
          <t>VÄRMLANDS LÄN</t>
        </is>
      </c>
      <c r="G703" t="inlineStr">
        <is>
          <t>SÄFFLE</t>
        </is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21184-2023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45062</v>
      </c>
      <c r="E704" s="1" t="n">
        <v>46309</v>
      </c>
      <c r="F704" t="inlineStr">
        <is>
          <t>VÄRMLANDS LÄN</t>
        </is>
      </c>
      <c r="G704" t="inlineStr">
        <is>
          <t>SÄFFLE</t>
        </is>
      </c>
      <c r="I704" t="n">
        <v>7.6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67203-2021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44523</v>
      </c>
      <c r="E705" s="1" t="n">
        <v>46309</v>
      </c>
      <c r="F705" t="inlineStr">
        <is>
          <t>VÄRMLANDS LÄN</t>
        </is>
      </c>
      <c r="G705" t="inlineStr">
        <is>
          <t>SÄFFLE</t>
        </is>
      </c>
      <c r="I705" t="n">
        <v>0.6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33881-2024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45522</v>
      </c>
      <c r="E706" s="1" t="n">
        <v>46309</v>
      </c>
      <c r="F706" t="inlineStr">
        <is>
          <t>VÄRMLANDS LÄN</t>
        </is>
      </c>
      <c r="G706" t="inlineStr">
        <is>
          <t>SÄFFLE</t>
        </is>
      </c>
      <c r="I706" t="n">
        <v>0.9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38116-2026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46281</v>
      </c>
      <c r="E707" s="1" t="n">
        <v>46309</v>
      </c>
      <c r="F707" t="inlineStr">
        <is>
          <t>VÄRMLANDS LÄN</t>
        </is>
      </c>
      <c r="G707" t="inlineStr">
        <is>
          <t>SÄFFLE</t>
        </is>
      </c>
      <c r="I707" t="n">
        <v>1.9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30624-2024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45495</v>
      </c>
      <c r="E708" s="1" t="n">
        <v>46309</v>
      </c>
      <c r="F708" t="inlineStr">
        <is>
          <t>VÄRMLANDS LÄN</t>
        </is>
      </c>
      <c r="G708" t="inlineStr">
        <is>
          <t>SÄFFLE</t>
        </is>
      </c>
      <c r="I708" t="n">
        <v>2.6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36001-2023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45149</v>
      </c>
      <c r="E709" s="1" t="n">
        <v>46309</v>
      </c>
      <c r="F709" t="inlineStr">
        <is>
          <t>VÄRMLANDS LÄN</t>
        </is>
      </c>
      <c r="G709" t="inlineStr">
        <is>
          <t>SÄFFLE</t>
        </is>
      </c>
      <c r="I709" t="n">
        <v>8.300000000000001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38652-2026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46283</v>
      </c>
      <c r="E710" s="1" t="n">
        <v>46309</v>
      </c>
      <c r="F710" t="inlineStr">
        <is>
          <t>VÄRMLANDS LÄN</t>
        </is>
      </c>
      <c r="G710" t="inlineStr">
        <is>
          <t>SÄFFLE</t>
        </is>
      </c>
      <c r="I710" t="n">
        <v>0.7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58105-2021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44487</v>
      </c>
      <c r="E711" s="1" t="n">
        <v>46309</v>
      </c>
      <c r="F711" t="inlineStr">
        <is>
          <t>VÄRMLANDS LÄN</t>
        </is>
      </c>
      <c r="G711" t="inlineStr">
        <is>
          <t>SÄFFLE</t>
        </is>
      </c>
      <c r="I711" t="n">
        <v>1.3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33245-2023</t>
        </is>
      </c>
      <c r="B712" t="inlineStr">
        <is>
          <t>avverkningsanmälan</t>
        </is>
      </c>
      <c r="C712" t="inlineStr">
        <is>
          <t>Avverkning för annat ändamål</t>
        </is>
      </c>
      <c r="D712" s="1" t="n">
        <v>45127</v>
      </c>
      <c r="E712" s="1" t="n">
        <v>46309</v>
      </c>
      <c r="F712" t="inlineStr">
        <is>
          <t>VÄRMLANDS LÄN</t>
        </is>
      </c>
      <c r="G712" t="inlineStr">
        <is>
          <t>SÄFFLE</t>
        </is>
      </c>
      <c r="I712" t="n">
        <v>1.8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1382-2025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45667</v>
      </c>
      <c r="E713" s="1" t="n">
        <v>46309</v>
      </c>
      <c r="F713" t="inlineStr">
        <is>
          <t>VÄRMLANDS LÄN</t>
        </is>
      </c>
      <c r="G713" t="inlineStr">
        <is>
          <t>SÄFFLE</t>
        </is>
      </c>
      <c r="H713" t="inlineStr">
        <is>
          <t>Kommuner</t>
        </is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61597-2022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44916</v>
      </c>
      <c r="E714" s="1" t="n">
        <v>46309</v>
      </c>
      <c r="F714" t="inlineStr">
        <is>
          <t>VÄRMLANDS LÄN</t>
        </is>
      </c>
      <c r="G714" t="inlineStr">
        <is>
          <t>SÄFFLE</t>
        </is>
      </c>
      <c r="I714" t="n">
        <v>1.7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38699-2026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46283</v>
      </c>
      <c r="E715" s="1" t="n">
        <v>46309</v>
      </c>
      <c r="F715" t="inlineStr">
        <is>
          <t>VÄRMLANDS LÄN</t>
        </is>
      </c>
      <c r="G715" t="inlineStr">
        <is>
          <t>SÄFFLE</t>
        </is>
      </c>
      <c r="H715" t="inlineStr">
        <is>
          <t>Bergvik skog väst AB</t>
        </is>
      </c>
      <c r="I715" t="n">
        <v>5.5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61991-2023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45266</v>
      </c>
      <c r="E716" s="1" t="n">
        <v>46309</v>
      </c>
      <c r="F716" t="inlineStr">
        <is>
          <t>VÄRMLANDS LÄN</t>
        </is>
      </c>
      <c r="G716" t="inlineStr">
        <is>
          <t>SÄFFLE</t>
        </is>
      </c>
      <c r="I716" t="n">
        <v>2.8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38572-2026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46283</v>
      </c>
      <c r="E717" s="1" t="n">
        <v>46309</v>
      </c>
      <c r="F717" t="inlineStr">
        <is>
          <t>VÄRMLANDS LÄN</t>
        </is>
      </c>
      <c r="G717" t="inlineStr">
        <is>
          <t>SÄFFLE</t>
        </is>
      </c>
      <c r="H717" t="inlineStr">
        <is>
          <t>Bergvik skog väst AB</t>
        </is>
      </c>
      <c r="I717" t="n">
        <v>12.6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73119-2021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44546</v>
      </c>
      <c r="E718" s="1" t="n">
        <v>46309</v>
      </c>
      <c r="F718" t="inlineStr">
        <is>
          <t>VÄRMLANDS LÄN</t>
        </is>
      </c>
      <c r="G718" t="inlineStr">
        <is>
          <t>SÄFFLE</t>
        </is>
      </c>
      <c r="I718" t="n">
        <v>2.9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39138-2026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46287</v>
      </c>
      <c r="E719" s="1" t="n">
        <v>46309</v>
      </c>
      <c r="F719" t="inlineStr">
        <is>
          <t>VÄRMLANDS LÄN</t>
        </is>
      </c>
      <c r="G719" t="inlineStr">
        <is>
          <t>SÄFFLE</t>
        </is>
      </c>
      <c r="I719" t="n">
        <v>0.6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35709-2023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45147</v>
      </c>
      <c r="E720" s="1" t="n">
        <v>46309</v>
      </c>
      <c r="F720" t="inlineStr">
        <is>
          <t>VÄRMLANDS LÄN</t>
        </is>
      </c>
      <c r="G720" t="inlineStr">
        <is>
          <t>SÄFFLE</t>
        </is>
      </c>
      <c r="I720" t="n">
        <v>7.2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8058-2022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44609</v>
      </c>
      <c r="E721" s="1" t="n">
        <v>46309</v>
      </c>
      <c r="F721" t="inlineStr">
        <is>
          <t>VÄRMLANDS LÄN</t>
        </is>
      </c>
      <c r="G721" t="inlineStr">
        <is>
          <t>SÄFFLE</t>
        </is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38992-2026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46287</v>
      </c>
      <c r="E722" s="1" t="n">
        <v>46309</v>
      </c>
      <c r="F722" t="inlineStr">
        <is>
          <t>VÄRMLANDS LÄN</t>
        </is>
      </c>
      <c r="G722" t="inlineStr">
        <is>
          <t>SÄFFLE</t>
        </is>
      </c>
      <c r="H722" t="inlineStr">
        <is>
          <t>Bergvik skog väst AB</t>
        </is>
      </c>
      <c r="I722" t="n">
        <v>10.2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16958-2024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45411</v>
      </c>
      <c r="E723" s="1" t="n">
        <v>46309</v>
      </c>
      <c r="F723" t="inlineStr">
        <is>
          <t>VÄRMLANDS LÄN</t>
        </is>
      </c>
      <c r="G723" t="inlineStr">
        <is>
          <t>SÄFFLE</t>
        </is>
      </c>
      <c r="I723" t="n">
        <v>2.7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43341-2025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45910</v>
      </c>
      <c r="E724" s="1" t="n">
        <v>46309</v>
      </c>
      <c r="F724" t="inlineStr">
        <is>
          <t>VÄRMLANDS LÄN</t>
        </is>
      </c>
      <c r="G724" t="inlineStr">
        <is>
          <t>SÄFFLE</t>
        </is>
      </c>
      <c r="I724" t="n">
        <v>1.9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40363-2025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45895</v>
      </c>
      <c r="E725" s="1" t="n">
        <v>46309</v>
      </c>
      <c r="F725" t="inlineStr">
        <is>
          <t>VÄRMLANDS LÄN</t>
        </is>
      </c>
      <c r="G725" t="inlineStr">
        <is>
          <t>SÄFFLE</t>
        </is>
      </c>
      <c r="I725" t="n">
        <v>0.7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10322-2024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45365</v>
      </c>
      <c r="E726" s="1" t="n">
        <v>46309</v>
      </c>
      <c r="F726" t="inlineStr">
        <is>
          <t>VÄRMLANDS LÄN</t>
        </is>
      </c>
      <c r="G726" t="inlineStr">
        <is>
          <t>SÄFFLE</t>
        </is>
      </c>
      <c r="I726" t="n">
        <v>20.7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4253-2024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45324</v>
      </c>
      <c r="E727" s="1" t="n">
        <v>46309</v>
      </c>
      <c r="F727" t="inlineStr">
        <is>
          <t>VÄRMLANDS LÄN</t>
        </is>
      </c>
      <c r="G727" t="inlineStr">
        <is>
          <t>SÄFFLE</t>
        </is>
      </c>
      <c r="I727" t="n">
        <v>5.9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20175-2023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45055</v>
      </c>
      <c r="E728" s="1" t="n">
        <v>46309</v>
      </c>
      <c r="F728" t="inlineStr">
        <is>
          <t>VÄRMLANDS LÄN</t>
        </is>
      </c>
      <c r="G728" t="inlineStr">
        <is>
          <t>SÄFFLE</t>
        </is>
      </c>
      <c r="H728" t="inlineStr">
        <is>
          <t>Kommuner</t>
        </is>
      </c>
      <c r="I728" t="n">
        <v>2.3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8737-2024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45356</v>
      </c>
      <c r="E729" s="1" t="n">
        <v>46309</v>
      </c>
      <c r="F729" t="inlineStr">
        <is>
          <t>VÄRMLANDS LÄN</t>
        </is>
      </c>
      <c r="G729" t="inlineStr">
        <is>
          <t>SÄFFLE</t>
        </is>
      </c>
      <c r="I729" t="n">
        <v>7.1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39388-2026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46288</v>
      </c>
      <c r="E730" s="1" t="n">
        <v>46309</v>
      </c>
      <c r="F730" t="inlineStr">
        <is>
          <t>VÄRMLANDS LÄN</t>
        </is>
      </c>
      <c r="G730" t="inlineStr">
        <is>
          <t>SÄFFLE</t>
        </is>
      </c>
      <c r="H730" t="inlineStr">
        <is>
          <t>Kyrkan</t>
        </is>
      </c>
      <c r="I730" t="n">
        <v>26.6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59429-2025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45989</v>
      </c>
      <c r="E731" s="1" t="n">
        <v>46309</v>
      </c>
      <c r="F731" t="inlineStr">
        <is>
          <t>VÄRMLANDS LÄN</t>
        </is>
      </c>
      <c r="G731" t="inlineStr">
        <is>
          <t>SÄFFLE</t>
        </is>
      </c>
      <c r="I731" t="n">
        <v>1.7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10102-2025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45719</v>
      </c>
      <c r="E732" s="1" t="n">
        <v>46309</v>
      </c>
      <c r="F732" t="inlineStr">
        <is>
          <t>VÄRMLANDS LÄN</t>
        </is>
      </c>
      <c r="G732" t="inlineStr">
        <is>
          <t>SÄFFLE</t>
        </is>
      </c>
      <c r="I732" t="n">
        <v>5.5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21821-2022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44709</v>
      </c>
      <c r="E733" s="1" t="n">
        <v>46309</v>
      </c>
      <c r="F733" t="inlineStr">
        <is>
          <t>VÄRMLANDS LÄN</t>
        </is>
      </c>
      <c r="G733" t="inlineStr">
        <is>
          <t>SÄFFLE</t>
        </is>
      </c>
      <c r="I733" t="n">
        <v>4.6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13321-2023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45005</v>
      </c>
      <c r="E734" s="1" t="n">
        <v>46309</v>
      </c>
      <c r="F734" t="inlineStr">
        <is>
          <t>VÄRMLANDS LÄN</t>
        </is>
      </c>
      <c r="G734" t="inlineStr">
        <is>
          <t>SÄFFLE</t>
        </is>
      </c>
      <c r="H734" t="inlineStr">
        <is>
          <t>Kommuner</t>
        </is>
      </c>
      <c r="I734" t="n">
        <v>3.5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40487-2022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44819</v>
      </c>
      <c r="E735" s="1" t="n">
        <v>46309</v>
      </c>
      <c r="F735" t="inlineStr">
        <is>
          <t>VÄRMLANDS LÄN</t>
        </is>
      </c>
      <c r="G735" t="inlineStr">
        <is>
          <t>SÄFFLE</t>
        </is>
      </c>
      <c r="I735" t="n">
        <v>1.3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6614-2024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45341</v>
      </c>
      <c r="E736" s="1" t="n">
        <v>46309</v>
      </c>
      <c r="F736" t="inlineStr">
        <is>
          <t>VÄRMLANDS LÄN</t>
        </is>
      </c>
      <c r="G736" t="inlineStr">
        <is>
          <t>SÄFFLE</t>
        </is>
      </c>
      <c r="I736" t="n">
        <v>5.3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64073-2023</t>
        </is>
      </c>
      <c r="B737" t="inlineStr">
        <is>
          <t>avverkningsanmälan</t>
        </is>
      </c>
      <c r="C737" t="inlineStr">
        <is>
          <t>Avverkning för annat ändamål</t>
        </is>
      </c>
      <c r="D737" s="1" t="n">
        <v>45279</v>
      </c>
      <c r="E737" s="1" t="n">
        <v>46309</v>
      </c>
      <c r="F737" t="inlineStr">
        <is>
          <t>VÄRMLANDS LÄN</t>
        </is>
      </c>
      <c r="G737" t="inlineStr">
        <is>
          <t>SÄFFLE</t>
        </is>
      </c>
      <c r="I737" t="n">
        <v>4.2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58914-2022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44896</v>
      </c>
      <c r="E738" s="1" t="n">
        <v>46309</v>
      </c>
      <c r="F738" t="inlineStr">
        <is>
          <t>VÄRMLANDS LÄN</t>
        </is>
      </c>
      <c r="G738" t="inlineStr">
        <is>
          <t>SÄFFLE</t>
        </is>
      </c>
      <c r="I738" t="n">
        <v>0.7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27444-2024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45474</v>
      </c>
      <c r="E739" s="1" t="n">
        <v>46309</v>
      </c>
      <c r="F739" t="inlineStr">
        <is>
          <t>VÄRMLANDS LÄN</t>
        </is>
      </c>
      <c r="G739" t="inlineStr">
        <is>
          <t>SÄFFLE</t>
        </is>
      </c>
      <c r="I739" t="n">
        <v>0.7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135-2023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44921</v>
      </c>
      <c r="E740" s="1" t="n">
        <v>46309</v>
      </c>
      <c r="F740" t="inlineStr">
        <is>
          <t>VÄRMLANDS LÄN</t>
        </is>
      </c>
      <c r="G740" t="inlineStr">
        <is>
          <t>SÄFFLE</t>
        </is>
      </c>
      <c r="I740" t="n">
        <v>4.3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9612-2024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45361</v>
      </c>
      <c r="E741" s="1" t="n">
        <v>46309</v>
      </c>
      <c r="F741" t="inlineStr">
        <is>
          <t>VÄRMLANDS LÄN</t>
        </is>
      </c>
      <c r="G741" t="inlineStr">
        <is>
          <t>SÄFFLE</t>
        </is>
      </c>
      <c r="I741" t="n">
        <v>1.7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28267-2024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45477</v>
      </c>
      <c r="E742" s="1" t="n">
        <v>46309</v>
      </c>
      <c r="F742" t="inlineStr">
        <is>
          <t>VÄRMLANDS LÄN</t>
        </is>
      </c>
      <c r="G742" t="inlineStr">
        <is>
          <t>SÄFFLE</t>
        </is>
      </c>
      <c r="I742" t="n">
        <v>9.4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5331-2023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44959</v>
      </c>
      <c r="E743" s="1" t="n">
        <v>46309</v>
      </c>
      <c r="F743" t="inlineStr">
        <is>
          <t>VÄRMLANDS LÄN</t>
        </is>
      </c>
      <c r="G743" t="inlineStr">
        <is>
          <t>SÄFFLE</t>
        </is>
      </c>
      <c r="I743" t="n">
        <v>2.7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2933-2023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44945</v>
      </c>
      <c r="E744" s="1" t="n">
        <v>46309</v>
      </c>
      <c r="F744" t="inlineStr">
        <is>
          <t>VÄRMLANDS LÄN</t>
        </is>
      </c>
      <c r="G744" t="inlineStr">
        <is>
          <t>SÄFFLE</t>
        </is>
      </c>
      <c r="I744" t="n">
        <v>0.6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37420-2023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45156</v>
      </c>
      <c r="E745" s="1" t="n">
        <v>46309</v>
      </c>
      <c r="F745" t="inlineStr">
        <is>
          <t>VÄRMLANDS LÄN</t>
        </is>
      </c>
      <c r="G745" t="inlineStr">
        <is>
          <t>SÄFFLE</t>
        </is>
      </c>
      <c r="I745" t="n">
        <v>3.4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58639-2024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45635</v>
      </c>
      <c r="E746" s="1" t="n">
        <v>46309</v>
      </c>
      <c r="F746" t="inlineStr">
        <is>
          <t>VÄRMLANDS LÄN</t>
        </is>
      </c>
      <c r="G746" t="inlineStr">
        <is>
          <t>SÄFFLE</t>
        </is>
      </c>
      <c r="I746" t="n">
        <v>1.8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33857-2023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45133</v>
      </c>
      <c r="E747" s="1" t="n">
        <v>46309</v>
      </c>
      <c r="F747" t="inlineStr">
        <is>
          <t>VÄRMLANDS LÄN</t>
        </is>
      </c>
      <c r="G747" t="inlineStr">
        <is>
          <t>SÄFFLE</t>
        </is>
      </c>
      <c r="I747" t="n">
        <v>29.5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64366-2023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45278</v>
      </c>
      <c r="E748" s="1" t="n">
        <v>46309</v>
      </c>
      <c r="F748" t="inlineStr">
        <is>
          <t>VÄRMLANDS LÄN</t>
        </is>
      </c>
      <c r="G748" t="inlineStr">
        <is>
          <t>SÄFFLE</t>
        </is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41804-2023</t>
        </is>
      </c>
      <c r="B749" t="inlineStr">
        <is>
          <t>avverkningsanmälan</t>
        </is>
      </c>
      <c r="C749" t="inlineStr">
        <is>
          <t>Avverkning för annat ändamål</t>
        </is>
      </c>
      <c r="D749" s="1" t="n">
        <v>45176</v>
      </c>
      <c r="E749" s="1" t="n">
        <v>46309</v>
      </c>
      <c r="F749" t="inlineStr">
        <is>
          <t>VÄRMLANDS LÄN</t>
        </is>
      </c>
      <c r="G749" t="inlineStr">
        <is>
          <t>SÄFFLE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39726-2026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46289</v>
      </c>
      <c r="E750" s="1" t="n">
        <v>46309</v>
      </c>
      <c r="F750" t="inlineStr">
        <is>
          <t>VÄRMLANDS LÄN</t>
        </is>
      </c>
      <c r="G750" t="inlineStr">
        <is>
          <t>SÄFFLE</t>
        </is>
      </c>
      <c r="I750" t="n">
        <v>4.2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55090-2022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44881</v>
      </c>
      <c r="E751" s="1" t="n">
        <v>46309</v>
      </c>
      <c r="F751" t="inlineStr">
        <is>
          <t>VÄRMLANDS LÄN</t>
        </is>
      </c>
      <c r="G751" t="inlineStr">
        <is>
          <t>SÄFFLE</t>
        </is>
      </c>
      <c r="I751" t="n">
        <v>1.5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55094-2022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44886</v>
      </c>
      <c r="E752" s="1" t="n">
        <v>46309</v>
      </c>
      <c r="F752" t="inlineStr">
        <is>
          <t>VÄRMLANDS LÄN</t>
        </is>
      </c>
      <c r="G752" t="inlineStr">
        <is>
          <t>SÄFFLE</t>
        </is>
      </c>
      <c r="I752" t="n">
        <v>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40863-2023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45173</v>
      </c>
      <c r="E753" s="1" t="n">
        <v>46309</v>
      </c>
      <c r="F753" t="inlineStr">
        <is>
          <t>VÄRMLANDS LÄN</t>
        </is>
      </c>
      <c r="G753" t="inlineStr">
        <is>
          <t>SÄFFLE</t>
        </is>
      </c>
      <c r="I753" t="n">
        <v>0.7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40103-2026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46290</v>
      </c>
      <c r="E754" s="1" t="n">
        <v>46309</v>
      </c>
      <c r="F754" t="inlineStr">
        <is>
          <t>VÄRMLANDS LÄN</t>
        </is>
      </c>
      <c r="G754" t="inlineStr">
        <is>
          <t>SÄFFLE</t>
        </is>
      </c>
      <c r="I754" t="n">
        <v>6.8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2902-2025</t>
        </is>
      </c>
      <c r="B755" t="inlineStr">
        <is>
          <t>avverkningsanmälan</t>
        </is>
      </c>
      <c r="C755" t="inlineStr">
        <is>
          <t>Avverkning för annat ändamål</t>
        </is>
      </c>
      <c r="D755" s="1" t="n">
        <v>45677</v>
      </c>
      <c r="E755" s="1" t="n">
        <v>46309</v>
      </c>
      <c r="F755" t="inlineStr">
        <is>
          <t>VÄRMLANDS LÄN</t>
        </is>
      </c>
      <c r="G755" t="inlineStr">
        <is>
          <t>SÄFFLE</t>
        </is>
      </c>
      <c r="I755" t="n">
        <v>1.6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6254-2024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45337</v>
      </c>
      <c r="E756" s="1" t="n">
        <v>46309</v>
      </c>
      <c r="F756" t="inlineStr">
        <is>
          <t>VÄRMLANDS LÄN</t>
        </is>
      </c>
      <c r="G756" t="inlineStr">
        <is>
          <t>SÄFFLE</t>
        </is>
      </c>
      <c r="I756" t="n">
        <v>3.5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40101-2026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46290</v>
      </c>
      <c r="E757" s="1" t="n">
        <v>46309</v>
      </c>
      <c r="F757" t="inlineStr">
        <is>
          <t>VÄRMLANDS LÄN</t>
        </is>
      </c>
      <c r="G757" t="inlineStr">
        <is>
          <t>SÄFFLE</t>
        </is>
      </c>
      <c r="I757" t="n">
        <v>2.2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40102-2026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46290</v>
      </c>
      <c r="E758" s="1" t="n">
        <v>46309</v>
      </c>
      <c r="F758" t="inlineStr">
        <is>
          <t>VÄRMLANDS LÄN</t>
        </is>
      </c>
      <c r="G758" t="inlineStr">
        <is>
          <t>SÄFFLE</t>
        </is>
      </c>
      <c r="I758" t="n">
        <v>5.1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32102-2023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45107</v>
      </c>
      <c r="E759" s="1" t="n">
        <v>46309</v>
      </c>
      <c r="F759" t="inlineStr">
        <is>
          <t>VÄRMLANDS LÄN</t>
        </is>
      </c>
      <c r="G759" t="inlineStr">
        <is>
          <t>SÄFFLE</t>
        </is>
      </c>
      <c r="I759" t="n">
        <v>0.8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1366-2025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45667</v>
      </c>
      <c r="E760" s="1" t="n">
        <v>46309</v>
      </c>
      <c r="F760" t="inlineStr">
        <is>
          <t>VÄRMLANDS LÄN</t>
        </is>
      </c>
      <c r="G760" t="inlineStr">
        <is>
          <t>SÄFFLE</t>
        </is>
      </c>
      <c r="I760" t="n">
        <v>3.5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8668-2025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45712</v>
      </c>
      <c r="E761" s="1" t="n">
        <v>46309</v>
      </c>
      <c r="F761" t="inlineStr">
        <is>
          <t>VÄRMLANDS LÄN</t>
        </is>
      </c>
      <c r="G761" t="inlineStr">
        <is>
          <t>SÄFFLE</t>
        </is>
      </c>
      <c r="I761" t="n">
        <v>0.7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25947-2022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44734</v>
      </c>
      <c r="E762" s="1" t="n">
        <v>46309</v>
      </c>
      <c r="F762" t="inlineStr">
        <is>
          <t>VÄRMLANDS LÄN</t>
        </is>
      </c>
      <c r="G762" t="inlineStr">
        <is>
          <t>SÄFFLE</t>
        </is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15319-2025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45747</v>
      </c>
      <c r="E763" s="1" t="n">
        <v>46309</v>
      </c>
      <c r="F763" t="inlineStr">
        <is>
          <t>VÄRMLANDS LÄN</t>
        </is>
      </c>
      <c r="G763" t="inlineStr">
        <is>
          <t>SÄFFLE</t>
        </is>
      </c>
      <c r="H763" t="inlineStr">
        <is>
          <t>Bergvik skog väst AB</t>
        </is>
      </c>
      <c r="I763" t="n">
        <v>0.5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21396-2024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45441</v>
      </c>
      <c r="E764" s="1" t="n">
        <v>46309</v>
      </c>
      <c r="F764" t="inlineStr">
        <is>
          <t>VÄRMLANDS LÄN</t>
        </is>
      </c>
      <c r="G764" t="inlineStr">
        <is>
          <t>SÄFFLE</t>
        </is>
      </c>
      <c r="I764" t="n">
        <v>2.1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8138-2025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45707</v>
      </c>
      <c r="E765" s="1" t="n">
        <v>46309</v>
      </c>
      <c r="F765" t="inlineStr">
        <is>
          <t>VÄRMLANDS LÄN</t>
        </is>
      </c>
      <c r="G765" t="inlineStr">
        <is>
          <t>SÄFFLE</t>
        </is>
      </c>
      <c r="I765" t="n">
        <v>1.1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51189-2024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45603</v>
      </c>
      <c r="E766" s="1" t="n">
        <v>46309</v>
      </c>
      <c r="F766" t="inlineStr">
        <is>
          <t>VÄRMLANDS LÄN</t>
        </is>
      </c>
      <c r="G766" t="inlineStr">
        <is>
          <t>SÄFFLE</t>
        </is>
      </c>
      <c r="I766" t="n">
        <v>2.6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4194-2025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45685</v>
      </c>
      <c r="E767" s="1" t="n">
        <v>46309</v>
      </c>
      <c r="F767" t="inlineStr">
        <is>
          <t>VÄRMLANDS LÄN</t>
        </is>
      </c>
      <c r="G767" t="inlineStr">
        <is>
          <t>SÄFFLE</t>
        </is>
      </c>
      <c r="I767" t="n">
        <v>5.2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45480-2024</t>
        </is>
      </c>
      <c r="B768" t="inlineStr">
        <is>
          <t>avverkningsanmälan</t>
        </is>
      </c>
      <c r="C768" t="inlineStr">
        <is>
          <t>Avverkning för annat ändamål</t>
        </is>
      </c>
      <c r="D768" s="1" t="n">
        <v>45576</v>
      </c>
      <c r="E768" s="1" t="n">
        <v>46309</v>
      </c>
      <c r="F768" t="inlineStr">
        <is>
          <t>VÄRMLANDS LÄN</t>
        </is>
      </c>
      <c r="G768" t="inlineStr">
        <is>
          <t>SÄFFLE</t>
        </is>
      </c>
      <c r="I768" t="n">
        <v>1.7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59807-2024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45639</v>
      </c>
      <c r="E769" s="1" t="n">
        <v>46309</v>
      </c>
      <c r="F769" t="inlineStr">
        <is>
          <t>VÄRMLANDS LÄN</t>
        </is>
      </c>
      <c r="G769" t="inlineStr">
        <is>
          <t>SÄFFLE</t>
        </is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59812-2024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45639</v>
      </c>
      <c r="E770" s="1" t="n">
        <v>46309</v>
      </c>
      <c r="F770" t="inlineStr">
        <is>
          <t>VÄRMLANDS LÄN</t>
        </is>
      </c>
      <c r="G770" t="inlineStr">
        <is>
          <t>SÄFFLE</t>
        </is>
      </c>
      <c r="I770" t="n">
        <v>8.1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33805-2026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46251</v>
      </c>
      <c r="E771" s="1" t="n">
        <v>46309</v>
      </c>
      <c r="F771" t="inlineStr">
        <is>
          <t>VÄRMLANDS LÄN</t>
        </is>
      </c>
      <c r="G771" t="inlineStr">
        <is>
          <t>SÄFFLE</t>
        </is>
      </c>
      <c r="H771" t="inlineStr">
        <is>
          <t>Kyrkan</t>
        </is>
      </c>
      <c r="I771" t="n">
        <v>5.4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33901-2026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46251</v>
      </c>
      <c r="E772" s="1" t="n">
        <v>46309</v>
      </c>
      <c r="F772" t="inlineStr">
        <is>
          <t>VÄRMLANDS LÄN</t>
        </is>
      </c>
      <c r="G772" t="inlineStr">
        <is>
          <t>SÄFFLE</t>
        </is>
      </c>
      <c r="I772" t="n">
        <v>0.6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33902-2026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46251</v>
      </c>
      <c r="E773" s="1" t="n">
        <v>46309</v>
      </c>
      <c r="F773" t="inlineStr">
        <is>
          <t>VÄRMLANDS LÄN</t>
        </is>
      </c>
      <c r="G773" t="inlineStr">
        <is>
          <t>SÄFFLE</t>
        </is>
      </c>
      <c r="I773" t="n">
        <v>0.8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34251-2026</t>
        </is>
      </c>
      <c r="B774" t="inlineStr">
        <is>
          <t>avverkningsanmälan</t>
        </is>
      </c>
      <c r="C774" t="inlineStr">
        <is>
          <t>Avverkning för annat ändamål</t>
        </is>
      </c>
      <c r="D774" s="1" t="n">
        <v>46253</v>
      </c>
      <c r="E774" s="1" t="n">
        <v>46309</v>
      </c>
      <c r="F774" t="inlineStr">
        <is>
          <t>VÄRMLANDS LÄN</t>
        </is>
      </c>
      <c r="G774" t="inlineStr">
        <is>
          <t>SÄFFLE</t>
        </is>
      </c>
      <c r="I774" t="n">
        <v>39.3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12599-2024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45380</v>
      </c>
      <c r="E775" s="1" t="n">
        <v>46309</v>
      </c>
      <c r="F775" t="inlineStr">
        <is>
          <t>VÄRMLANDS LÄN</t>
        </is>
      </c>
      <c r="G775" t="inlineStr">
        <is>
          <t>SÄFFLE</t>
        </is>
      </c>
      <c r="I775" t="n">
        <v>3.2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33898-2026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46251</v>
      </c>
      <c r="E776" s="1" t="n">
        <v>46309</v>
      </c>
      <c r="F776" t="inlineStr">
        <is>
          <t>VÄRMLANDS LÄN</t>
        </is>
      </c>
      <c r="G776" t="inlineStr">
        <is>
          <t>SÄFFLE</t>
        </is>
      </c>
      <c r="I776" t="n">
        <v>3.3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40460-2026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46295</v>
      </c>
      <c r="E777" s="1" t="n">
        <v>46309</v>
      </c>
      <c r="F777" t="inlineStr">
        <is>
          <t>VÄRMLANDS LÄN</t>
        </is>
      </c>
      <c r="G777" t="inlineStr">
        <is>
          <t>SÄFFLE</t>
        </is>
      </c>
      <c r="I777" t="n">
        <v>0.8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61819-2024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45646</v>
      </c>
      <c r="E778" s="1" t="n">
        <v>46309</v>
      </c>
      <c r="F778" t="inlineStr">
        <is>
          <t>VÄRMLANDS LÄN</t>
        </is>
      </c>
      <c r="G778" t="inlineStr">
        <is>
          <t>SÄFFLE</t>
        </is>
      </c>
      <c r="I778" t="n">
        <v>0.9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21980-2025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45784</v>
      </c>
      <c r="E779" s="1" t="n">
        <v>46309</v>
      </c>
      <c r="F779" t="inlineStr">
        <is>
          <t>VÄRMLANDS LÄN</t>
        </is>
      </c>
      <c r="G779" t="inlineStr">
        <is>
          <t>SÄFFLE</t>
        </is>
      </c>
      <c r="I779" t="n">
        <v>1.5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10697-2024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45369</v>
      </c>
      <c r="E780" s="1" t="n">
        <v>46309</v>
      </c>
      <c r="F780" t="inlineStr">
        <is>
          <t>VÄRMLANDS LÄN</t>
        </is>
      </c>
      <c r="G780" t="inlineStr">
        <is>
          <t>SÄFFLE</t>
        </is>
      </c>
      <c r="I780" t="n">
        <v>4.3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21745-2025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45783</v>
      </c>
      <c r="E781" s="1" t="n">
        <v>46309</v>
      </c>
      <c r="F781" t="inlineStr">
        <is>
          <t>VÄRMLANDS LÄN</t>
        </is>
      </c>
      <c r="G781" t="inlineStr">
        <is>
          <t>SÄFFLE</t>
        </is>
      </c>
      <c r="I781" t="n">
        <v>3.4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34628-2026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46255</v>
      </c>
      <c r="E782" s="1" t="n">
        <v>46309</v>
      </c>
      <c r="F782" t="inlineStr">
        <is>
          <t>VÄRMLANDS LÄN</t>
        </is>
      </c>
      <c r="G782" t="inlineStr">
        <is>
          <t>SÄFFLE</t>
        </is>
      </c>
      <c r="H782" t="inlineStr">
        <is>
          <t>Kyrkan</t>
        </is>
      </c>
      <c r="I782" t="n">
        <v>8.300000000000001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13533-2025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45736</v>
      </c>
      <c r="E783" s="1" t="n">
        <v>46309</v>
      </c>
      <c r="F783" t="inlineStr">
        <is>
          <t>VÄRMLANDS LÄN</t>
        </is>
      </c>
      <c r="G783" t="inlineStr">
        <is>
          <t>SÄFFLE</t>
        </is>
      </c>
      <c r="I783" t="n">
        <v>8.5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3752-2025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45681</v>
      </c>
      <c r="E784" s="1" t="n">
        <v>46309</v>
      </c>
      <c r="F784" t="inlineStr">
        <is>
          <t>VÄRMLANDS LÄN</t>
        </is>
      </c>
      <c r="G784" t="inlineStr">
        <is>
          <t>SÄFFLE</t>
        </is>
      </c>
      <c r="I784" t="n">
        <v>2.3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18925-2024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45427</v>
      </c>
      <c r="E785" s="1" t="n">
        <v>46309</v>
      </c>
      <c r="F785" t="inlineStr">
        <is>
          <t>VÄRMLANDS LÄN</t>
        </is>
      </c>
      <c r="G785" t="inlineStr">
        <is>
          <t>SÄFFLE</t>
        </is>
      </c>
      <c r="I785" t="n">
        <v>7.7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40518-2024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45555</v>
      </c>
      <c r="E786" s="1" t="n">
        <v>46309</v>
      </c>
      <c r="F786" t="inlineStr">
        <is>
          <t>VÄRMLANDS LÄN</t>
        </is>
      </c>
      <c r="G786" t="inlineStr">
        <is>
          <t>SÄFFLE</t>
        </is>
      </c>
      <c r="I786" t="n">
        <v>2.1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41232-2026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46297</v>
      </c>
      <c r="E787" s="1" t="n">
        <v>46309</v>
      </c>
      <c r="F787" t="inlineStr">
        <is>
          <t>VÄRMLANDS LÄN</t>
        </is>
      </c>
      <c r="G787" t="inlineStr">
        <is>
          <t>SÄFFLE</t>
        </is>
      </c>
      <c r="I787" t="n">
        <v>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22905-2025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45790</v>
      </c>
      <c r="E788" s="1" t="n">
        <v>46309</v>
      </c>
      <c r="F788" t="inlineStr">
        <is>
          <t>VÄRMLANDS LÄN</t>
        </is>
      </c>
      <c r="G788" t="inlineStr">
        <is>
          <t>SÄFFLE</t>
        </is>
      </c>
      <c r="H788" t="inlineStr">
        <is>
          <t>Bergvik skog väst AB</t>
        </is>
      </c>
      <c r="I788" t="n">
        <v>0.6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22988-2025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45790</v>
      </c>
      <c r="E789" s="1" t="n">
        <v>46309</v>
      </c>
      <c r="F789" t="inlineStr">
        <is>
          <t>VÄRMLANDS LÄN</t>
        </is>
      </c>
      <c r="G789" t="inlineStr">
        <is>
          <t>SÄFFLE</t>
        </is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22996-2025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45790</v>
      </c>
      <c r="E790" s="1" t="n">
        <v>46309</v>
      </c>
      <c r="F790" t="inlineStr">
        <is>
          <t>VÄRMLANDS LÄN</t>
        </is>
      </c>
      <c r="G790" t="inlineStr">
        <is>
          <t>SÄFFLE</t>
        </is>
      </c>
      <c r="H790" t="inlineStr">
        <is>
          <t>Bergvik skog väst AB</t>
        </is>
      </c>
      <c r="I790" t="n">
        <v>1.5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40924-2026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46297</v>
      </c>
      <c r="E791" s="1" t="n">
        <v>46309</v>
      </c>
      <c r="F791" t="inlineStr">
        <is>
          <t>VÄRMLANDS LÄN</t>
        </is>
      </c>
      <c r="G791" t="inlineStr">
        <is>
          <t>SÄFFLE</t>
        </is>
      </c>
      <c r="I791" t="n">
        <v>2.7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10350-2025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45720</v>
      </c>
      <c r="E792" s="1" t="n">
        <v>46309</v>
      </c>
      <c r="F792" t="inlineStr">
        <is>
          <t>VÄRMLANDS LÄN</t>
        </is>
      </c>
      <c r="G792" t="inlineStr">
        <is>
          <t>SÄFFLE</t>
        </is>
      </c>
      <c r="H792" t="inlineStr">
        <is>
          <t>Kyrkan</t>
        </is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55093-2022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44881</v>
      </c>
      <c r="E793" s="1" t="n">
        <v>46309</v>
      </c>
      <c r="F793" t="inlineStr">
        <is>
          <t>VÄRMLANDS LÄN</t>
        </is>
      </c>
      <c r="G793" t="inlineStr">
        <is>
          <t>SÄFFLE</t>
        </is>
      </c>
      <c r="I793" t="n">
        <v>4.5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41218-2026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46300</v>
      </c>
      <c r="E794" s="1" t="n">
        <v>46309</v>
      </c>
      <c r="F794" t="inlineStr">
        <is>
          <t>VÄRMLANDS LÄN</t>
        </is>
      </c>
      <c r="G794" t="inlineStr">
        <is>
          <t>SÄFFLE</t>
        </is>
      </c>
      <c r="I794" t="n">
        <v>1.3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22997-2025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45790</v>
      </c>
      <c r="E795" s="1" t="n">
        <v>46309</v>
      </c>
      <c r="F795" t="inlineStr">
        <is>
          <t>VÄRMLANDS LÄN</t>
        </is>
      </c>
      <c r="G795" t="inlineStr">
        <is>
          <t>SÄFFLE</t>
        </is>
      </c>
      <c r="H795" t="inlineStr">
        <is>
          <t>Bergvik skog väst AB</t>
        </is>
      </c>
      <c r="I795" t="n">
        <v>0.7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23002-2025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45790</v>
      </c>
      <c r="E796" s="1" t="n">
        <v>46309</v>
      </c>
      <c r="F796" t="inlineStr">
        <is>
          <t>VÄRMLANDS LÄN</t>
        </is>
      </c>
      <c r="G796" t="inlineStr">
        <is>
          <t>SÄFFLE</t>
        </is>
      </c>
      <c r="H796" t="inlineStr">
        <is>
          <t>Bergvik skog väst AB</t>
        </is>
      </c>
      <c r="I796" t="n">
        <v>0.8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22993-2025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45790</v>
      </c>
      <c r="E797" s="1" t="n">
        <v>46309</v>
      </c>
      <c r="F797" t="inlineStr">
        <is>
          <t>VÄRMLANDS LÄN</t>
        </is>
      </c>
      <c r="G797" t="inlineStr">
        <is>
          <t>SÄFFLE</t>
        </is>
      </c>
      <c r="H797" t="inlineStr">
        <is>
          <t>Bergvik skog väst AB</t>
        </is>
      </c>
      <c r="I797" t="n">
        <v>0.5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34516-2026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46255</v>
      </c>
      <c r="E798" s="1" t="n">
        <v>46309</v>
      </c>
      <c r="F798" t="inlineStr">
        <is>
          <t>VÄRMLANDS LÄN</t>
        </is>
      </c>
      <c r="G798" t="inlineStr">
        <is>
          <t>SÄFFLE</t>
        </is>
      </c>
      <c r="I798" t="n">
        <v>1.7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35070-2026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46258</v>
      </c>
      <c r="E799" s="1" t="n">
        <v>46309</v>
      </c>
      <c r="F799" t="inlineStr">
        <is>
          <t>VÄRMLANDS LÄN</t>
        </is>
      </c>
      <c r="G799" t="inlineStr">
        <is>
          <t>SÄFFLE</t>
        </is>
      </c>
      <c r="I799" t="n">
        <v>2.9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42094-2026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46304</v>
      </c>
      <c r="E800" s="1" t="n">
        <v>46309</v>
      </c>
      <c r="F800" t="inlineStr">
        <is>
          <t>VÄRMLANDS LÄN</t>
        </is>
      </c>
      <c r="G800" t="inlineStr">
        <is>
          <t>SÄFFLE</t>
        </is>
      </c>
      <c r="I800" t="n">
        <v>1.1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35898-2026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46266</v>
      </c>
      <c r="E801" s="1" t="n">
        <v>46309</v>
      </c>
      <c r="F801" t="inlineStr">
        <is>
          <t>VÄRMLANDS LÄN</t>
        </is>
      </c>
      <c r="G801" t="inlineStr">
        <is>
          <t>SÄFFLE</t>
        </is>
      </c>
      <c r="I801" t="n">
        <v>1.7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42555-2026</t>
        </is>
      </c>
      <c r="B802" t="inlineStr">
        <is>
          <t>avverkningsanmälan</t>
        </is>
      </c>
      <c r="C802" t="inlineStr">
        <is>
          <t>Avverkning för annat ändamål</t>
        </is>
      </c>
      <c r="D802" s="1" t="n">
        <v>46308</v>
      </c>
      <c r="E802" s="1" t="n">
        <v>46309</v>
      </c>
      <c r="F802" t="inlineStr">
        <is>
          <t>VÄRMLANDS LÄN</t>
        </is>
      </c>
      <c r="G802" t="inlineStr">
        <is>
          <t>SÄFFLE</t>
        </is>
      </c>
      <c r="I802" t="n">
        <v>6.6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35984-2026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46266</v>
      </c>
      <c r="E803" s="1" t="n">
        <v>46309</v>
      </c>
      <c r="F803" t="inlineStr">
        <is>
          <t>VÄRMLANDS LÄN</t>
        </is>
      </c>
      <c r="G803" t="inlineStr">
        <is>
          <t>SÄFFLE</t>
        </is>
      </c>
      <c r="I803" t="n">
        <v>1.3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35971-2026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46266</v>
      </c>
      <c r="E804" s="1" t="n">
        <v>46309</v>
      </c>
      <c r="F804" t="inlineStr">
        <is>
          <t>VÄRMLANDS LÄN</t>
        </is>
      </c>
      <c r="G804" t="inlineStr">
        <is>
          <t>SÄFFLE</t>
        </is>
      </c>
      <c r="I804" t="n">
        <v>6.4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35508-2026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46262</v>
      </c>
      <c r="E805" s="1" t="n">
        <v>46309</v>
      </c>
      <c r="F805" t="inlineStr">
        <is>
          <t>VÄRMLANDS LÄN</t>
        </is>
      </c>
      <c r="G805" t="inlineStr">
        <is>
          <t>SÄFFLE</t>
        </is>
      </c>
      <c r="I805" t="n">
        <v>3.6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S 297-2022</t>
        </is>
      </c>
      <c r="B806" t="inlineStr">
        <is>
          <t>samrådsanmälan</t>
        </is>
      </c>
      <c r="C806" t="inlineStr">
        <is>
          <t>Skogsgödsling</t>
        </is>
      </c>
      <c r="D806" s="1" t="n">
        <v>44579</v>
      </c>
      <c r="E806" s="1" t="n">
        <v>46309</v>
      </c>
      <c r="F806" t="inlineStr">
        <is>
          <t>VÄRMLANDS LÄN</t>
        </is>
      </c>
      <c r="G806" t="inlineStr">
        <is>
          <t>SÄFFLE</t>
        </is>
      </c>
      <c r="H806" t="inlineStr">
        <is>
          <t>Bergvik skog väst AB</t>
        </is>
      </c>
      <c r="I806" t="n">
        <v>12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S 287-2022</t>
        </is>
      </c>
      <c r="B807" t="inlineStr">
        <is>
          <t>samrådsanmälan</t>
        </is>
      </c>
      <c r="C807" t="inlineStr">
        <is>
          <t>Skogsgödsling</t>
        </is>
      </c>
      <c r="D807" s="1" t="n">
        <v>44579</v>
      </c>
      <c r="E807" s="1" t="n">
        <v>46309</v>
      </c>
      <c r="F807" t="inlineStr">
        <is>
          <t>VÄRMLANDS LÄN</t>
        </is>
      </c>
      <c r="G807" t="inlineStr">
        <is>
          <t>SÄFFLE</t>
        </is>
      </c>
      <c r="H807" t="inlineStr">
        <is>
          <t>Bergvik skog väst AB</t>
        </is>
      </c>
      <c r="I807" t="n">
        <v>4.7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S 296-2022</t>
        </is>
      </c>
      <c r="B808" t="inlineStr">
        <is>
          <t>samrådsanmälan</t>
        </is>
      </c>
      <c r="C808" t="inlineStr">
        <is>
          <t>Skogsgödsling</t>
        </is>
      </c>
      <c r="D808" s="1" t="n">
        <v>44579</v>
      </c>
      <c r="E808" s="1" t="n">
        <v>46309</v>
      </c>
      <c r="F808" t="inlineStr">
        <is>
          <t>VÄRMLANDS LÄN</t>
        </is>
      </c>
      <c r="G808" t="inlineStr">
        <is>
          <t>SÄFFLE</t>
        </is>
      </c>
      <c r="H808" t="inlineStr">
        <is>
          <t>Bergvik skog väst AB</t>
        </is>
      </c>
      <c r="I808" t="n">
        <v>36.8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S 10147-2021</t>
        </is>
      </c>
      <c r="B809" t="inlineStr">
        <is>
          <t>samrådsanmälan</t>
        </is>
      </c>
      <c r="C809" t="inlineStr">
        <is>
          <t>Skogsgödsling</t>
        </is>
      </c>
      <c r="D809" s="1" t="n">
        <v>44540</v>
      </c>
      <c r="E809" s="1" t="n">
        <v>46309</v>
      </c>
      <c r="F809" t="inlineStr">
        <is>
          <t>VÄRMLANDS LÄN</t>
        </is>
      </c>
      <c r="G809" t="inlineStr">
        <is>
          <t>SÄFFLE</t>
        </is>
      </c>
      <c r="H809" t="inlineStr">
        <is>
          <t>Bergvik skog väst AB</t>
        </is>
      </c>
      <c r="I809" t="n">
        <v>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S 7132-2022</t>
        </is>
      </c>
      <c r="B810" t="inlineStr">
        <is>
          <t>samrådsanmälan</t>
        </is>
      </c>
      <c r="C810" t="inlineStr">
        <is>
          <t>Skogsgödsling</t>
        </is>
      </c>
      <c r="D810" s="1" t="n">
        <v>44911</v>
      </c>
      <c r="E810" s="1" t="n">
        <v>46309</v>
      </c>
      <c r="F810" t="inlineStr">
        <is>
          <t>VÄRMLANDS LÄN</t>
        </is>
      </c>
      <c r="G810" t="inlineStr">
        <is>
          <t>SÄFFLE</t>
        </is>
      </c>
      <c r="H810" t="inlineStr">
        <is>
          <t>Bergvik skog väst AB</t>
        </is>
      </c>
      <c r="I810" t="n">
        <v>13.9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S 7134-2022</t>
        </is>
      </c>
      <c r="B811" t="inlineStr">
        <is>
          <t>samrådsanmälan</t>
        </is>
      </c>
      <c r="C811" t="inlineStr">
        <is>
          <t>Skogsgödsling</t>
        </is>
      </c>
      <c r="D811" s="1" t="n">
        <v>44911</v>
      </c>
      <c r="E811" s="1" t="n">
        <v>46309</v>
      </c>
      <c r="F811" t="inlineStr">
        <is>
          <t>VÄRMLANDS LÄN</t>
        </is>
      </c>
      <c r="G811" t="inlineStr">
        <is>
          <t>SÄFFLE</t>
        </is>
      </c>
      <c r="H811" t="inlineStr">
        <is>
          <t>Bergvik skog väst AB</t>
        </is>
      </c>
      <c r="I811" t="n">
        <v>10.5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S 10208-2021</t>
        </is>
      </c>
      <c r="B812" t="inlineStr">
        <is>
          <t>samrådsanmälan</t>
        </is>
      </c>
      <c r="C812" t="inlineStr">
        <is>
          <t>Skogsgödsling</t>
        </is>
      </c>
      <c r="D812" s="1" t="n">
        <v>44540</v>
      </c>
      <c r="E812" s="1" t="n">
        <v>46309</v>
      </c>
      <c r="F812" t="inlineStr">
        <is>
          <t>VÄRMLANDS LÄN</t>
        </is>
      </c>
      <c r="G812" t="inlineStr">
        <is>
          <t>SÄFFLE</t>
        </is>
      </c>
      <c r="H812" t="inlineStr">
        <is>
          <t>Bergvik skog väst AB</t>
        </is>
      </c>
      <c r="I812" t="n">
        <v>16.4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S 7130-2022</t>
        </is>
      </c>
      <c r="B813" t="inlineStr">
        <is>
          <t>samrådsanmälan</t>
        </is>
      </c>
      <c r="C813" t="inlineStr">
        <is>
          <t>Skogsgödsling</t>
        </is>
      </c>
      <c r="D813" s="1" t="n">
        <v>44911</v>
      </c>
      <c r="E813" s="1" t="n">
        <v>46309</v>
      </c>
      <c r="F813" t="inlineStr">
        <is>
          <t>VÄRMLANDS LÄN</t>
        </is>
      </c>
      <c r="G813" t="inlineStr">
        <is>
          <t>SÄFFLE</t>
        </is>
      </c>
      <c r="H813" t="inlineStr">
        <is>
          <t>Bergvik skog väst AB</t>
        </is>
      </c>
      <c r="I813" t="n">
        <v>41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S 10205-2021</t>
        </is>
      </c>
      <c r="B814" t="inlineStr">
        <is>
          <t>samrådsanmälan</t>
        </is>
      </c>
      <c r="C814" t="inlineStr">
        <is>
          <t>Skogsgödsling</t>
        </is>
      </c>
      <c r="D814" s="1" t="n">
        <v>44540</v>
      </c>
      <c r="E814" s="1" t="n">
        <v>46309</v>
      </c>
      <c r="F814" t="inlineStr">
        <is>
          <t>VÄRMLANDS LÄN</t>
        </is>
      </c>
      <c r="G814" t="inlineStr">
        <is>
          <t>SÄFFLE</t>
        </is>
      </c>
      <c r="H814" t="inlineStr">
        <is>
          <t>Bergvik skog väst AB</t>
        </is>
      </c>
      <c r="I814" t="n">
        <v>11.3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S 600-2024</t>
        </is>
      </c>
      <c r="B815" t="inlineStr">
        <is>
          <t>samrådsanmälan</t>
        </is>
      </c>
      <c r="C815" t="inlineStr">
        <is>
          <t>Askåterföring</t>
        </is>
      </c>
      <c r="D815" s="1" t="n">
        <v>45351</v>
      </c>
      <c r="E815" s="1" t="n">
        <v>46309</v>
      </c>
      <c r="F815" t="inlineStr">
        <is>
          <t>VÄRMLANDS LÄN</t>
        </is>
      </c>
      <c r="G815" t="inlineStr">
        <is>
          <t>SÄFFLE</t>
        </is>
      </c>
      <c r="H815" t="inlineStr">
        <is>
          <t>Bergvik skog väst AB</t>
        </is>
      </c>
      <c r="I815" t="n">
        <v>51.1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S 7133-2022</t>
        </is>
      </c>
      <c r="B816" t="inlineStr">
        <is>
          <t>samrådsanmälan</t>
        </is>
      </c>
      <c r="C816" t="inlineStr">
        <is>
          <t>Skogsgödsling</t>
        </is>
      </c>
      <c r="D816" s="1" t="n">
        <v>44911</v>
      </c>
      <c r="E816" s="1" t="n">
        <v>46309</v>
      </c>
      <c r="F816" t="inlineStr">
        <is>
          <t>VÄRMLANDS LÄN</t>
        </is>
      </c>
      <c r="G816" t="inlineStr">
        <is>
          <t>SÄFFLE</t>
        </is>
      </c>
      <c r="H816" t="inlineStr">
        <is>
          <t>Bergvik skog väst AB</t>
        </is>
      </c>
      <c r="I816" t="n">
        <v>25.3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S 66-2024</t>
        </is>
      </c>
      <c r="B817" t="inlineStr">
        <is>
          <t>samrådsanmälan</t>
        </is>
      </c>
      <c r="C817" t="inlineStr">
        <is>
          <t>Askåterföring</t>
        </is>
      </c>
      <c r="D817" s="1" t="n">
        <v>45299</v>
      </c>
      <c r="E817" s="1" t="n">
        <v>46309</v>
      </c>
      <c r="F817" t="inlineStr">
        <is>
          <t>VÄRMLANDS LÄN</t>
        </is>
      </c>
      <c r="G817" t="inlineStr">
        <is>
          <t>SÄFFLE</t>
        </is>
      </c>
      <c r="I817" t="n">
        <v>101.3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S 10155-2021</t>
        </is>
      </c>
      <c r="B818" t="inlineStr">
        <is>
          <t>samrådsanmälan</t>
        </is>
      </c>
      <c r="C818" t="inlineStr">
        <is>
          <t>Skogsgödsling</t>
        </is>
      </c>
      <c r="D818" s="1" t="n">
        <v>44540</v>
      </c>
      <c r="E818" s="1" t="n">
        <v>46309</v>
      </c>
      <c r="F818" t="inlineStr">
        <is>
          <t>VÄRMLANDS LÄN</t>
        </is>
      </c>
      <c r="G818" t="inlineStr">
        <is>
          <t>SÄFFLE</t>
        </is>
      </c>
      <c r="H818" t="inlineStr">
        <is>
          <t>Bergvik skog väst AB</t>
        </is>
      </c>
      <c r="I818" t="n">
        <v>30.8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S 601-2024</t>
        </is>
      </c>
      <c r="B819" t="inlineStr">
        <is>
          <t>samrådsanmälan</t>
        </is>
      </c>
      <c r="C819" t="inlineStr">
        <is>
          <t>Askåterföring</t>
        </is>
      </c>
      <c r="D819" s="1" t="n">
        <v>45351</v>
      </c>
      <c r="E819" s="1" t="n">
        <v>46309</v>
      </c>
      <c r="F819" t="inlineStr">
        <is>
          <t>VÄRMLANDS LÄN</t>
        </is>
      </c>
      <c r="G819" t="inlineStr">
        <is>
          <t>SÄFFLE</t>
        </is>
      </c>
      <c r="H819" t="inlineStr">
        <is>
          <t>Bergvik skog väst AB</t>
        </is>
      </c>
      <c r="I819" t="n">
        <v>16.1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S 10202-2021</t>
        </is>
      </c>
      <c r="B820" t="inlineStr">
        <is>
          <t>samrådsanmälan</t>
        </is>
      </c>
      <c r="C820" t="inlineStr">
        <is>
          <t>Skogsgödsling</t>
        </is>
      </c>
      <c r="D820" s="1" t="n">
        <v>44540</v>
      </c>
      <c r="E820" s="1" t="n">
        <v>46309</v>
      </c>
      <c r="F820" t="inlineStr">
        <is>
          <t>VÄRMLANDS LÄN</t>
        </is>
      </c>
      <c r="G820" t="inlineStr">
        <is>
          <t>SÄFFLE</t>
        </is>
      </c>
      <c r="H820" t="inlineStr">
        <is>
          <t>Bergvik skog väst AB</t>
        </is>
      </c>
      <c r="I820" t="n">
        <v>14.7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S 10203-2021</t>
        </is>
      </c>
      <c r="B821" t="inlineStr">
        <is>
          <t>samrådsanmälan</t>
        </is>
      </c>
      <c r="C821" t="inlineStr">
        <is>
          <t>Skogsgödsling</t>
        </is>
      </c>
      <c r="D821" s="1" t="n">
        <v>44540</v>
      </c>
      <c r="E821" s="1" t="n">
        <v>46309</v>
      </c>
      <c r="F821" t="inlineStr">
        <is>
          <t>VÄRMLANDS LÄN</t>
        </is>
      </c>
      <c r="G821" t="inlineStr">
        <is>
          <t>SÄFFLE</t>
        </is>
      </c>
      <c r="H821" t="inlineStr">
        <is>
          <t>Bergvik skog väst AB</t>
        </is>
      </c>
      <c r="I821" t="n">
        <v>16.2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S 8638-2021</t>
        </is>
      </c>
      <c r="B822" t="inlineStr">
        <is>
          <t>samrådsanmälan</t>
        </is>
      </c>
      <c r="C822" t="inlineStr">
        <is>
          <t>Skogsbilväg</t>
        </is>
      </c>
      <c r="D822" s="1" t="n">
        <v>44501</v>
      </c>
      <c r="E822" s="1" t="n">
        <v>46309</v>
      </c>
      <c r="F822" t="inlineStr">
        <is>
          <t>VÄRMLANDS LÄN</t>
        </is>
      </c>
      <c r="G822" t="inlineStr">
        <is>
          <t>SÄFFLE</t>
        </is>
      </c>
      <c r="I822" t="n">
        <v>0.8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S 1402-2025</t>
        </is>
      </c>
      <c r="B823" t="inlineStr">
        <is>
          <t>samrådsanmälan</t>
        </is>
      </c>
      <c r="C823" t="inlineStr">
        <is>
          <t>Skogsgödsling</t>
        </is>
      </c>
      <c r="D823" s="1" t="n">
        <v>45779</v>
      </c>
      <c r="E823" s="1" t="n">
        <v>46309</v>
      </c>
      <c r="F823" t="inlineStr">
        <is>
          <t>VÄRMLANDS LÄN</t>
        </is>
      </c>
      <c r="G823" t="inlineStr">
        <is>
          <t>SÄFFLE</t>
        </is>
      </c>
      <c r="I823" t="n">
        <v>24.2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S 89-2026</t>
        </is>
      </c>
      <c r="B824" t="inlineStr">
        <is>
          <t>samrådsanmälan</t>
        </is>
      </c>
      <c r="C824" t="inlineStr">
        <is>
          <t>Skogsgödsling</t>
        </is>
      </c>
      <c r="D824" s="1" t="n">
        <v>46035</v>
      </c>
      <c r="E824" s="1" t="n">
        <v>46309</v>
      </c>
      <c r="F824" t="inlineStr">
        <is>
          <t>VÄRMLANDS LÄN</t>
        </is>
      </c>
      <c r="G824" t="inlineStr">
        <is>
          <t>SÄFFLE</t>
        </is>
      </c>
      <c r="H824" t="inlineStr">
        <is>
          <t>Bergvik skog väst AB</t>
        </is>
      </c>
      <c r="I824" t="n">
        <v>40.8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S 1635-2026</t>
        </is>
      </c>
      <c r="B825" t="inlineStr">
        <is>
          <t>samrådsanmälan</t>
        </is>
      </c>
      <c r="C825" t="inlineStr">
        <is>
          <t>Askåterföring</t>
        </is>
      </c>
      <c r="D825" s="1" t="n">
        <v>46177</v>
      </c>
      <c r="E825" s="1" t="n">
        <v>46309</v>
      </c>
      <c r="F825" t="inlineStr">
        <is>
          <t>VÄRMLANDS LÄN</t>
        </is>
      </c>
      <c r="G825" t="inlineStr">
        <is>
          <t>SÄFFLE</t>
        </is>
      </c>
      <c r="H825" t="inlineStr">
        <is>
          <t>Bergvik skog väst AB</t>
        </is>
      </c>
      <c r="I825" t="n">
        <v>49.3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>
      <c r="A826" t="inlineStr">
        <is>
          <t>S 1933-2026</t>
        </is>
      </c>
      <c r="B826" t="inlineStr">
        <is>
          <t>samrådsanmälan</t>
        </is>
      </c>
      <c r="C826" t="inlineStr">
        <is>
          <t>Annan skogsbruksåtgärd</t>
        </is>
      </c>
      <c r="D826" s="1" t="n">
        <v>46203</v>
      </c>
      <c r="E826" s="1" t="n">
        <v>46309</v>
      </c>
      <c r="F826" t="inlineStr">
        <is>
          <t>VÄRMLANDS LÄN</t>
        </is>
      </c>
      <c r="G826" t="inlineStr">
        <is>
          <t>SÄFFLE</t>
        </is>
      </c>
      <c r="I826" t="n">
        <v>4.8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2026-10-14T02:04:45Z</dcterms:created>
  <dcterms:modified xmlns:dcterms="http://purl.org/dc/terms/" xmlns:xsi="http://www.w3.org/2001/XMLSchema-instance" xsi:type="dcterms:W3CDTF">2026-10-14T02:04:46Z</dcterms:modified>
</cp:coreProperties>
</file>