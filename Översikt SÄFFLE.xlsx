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46305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46305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24697-2024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46305</v>
      </c>
      <c r="F10" t="inlineStr">
        <is>
          <t>VÄRMLANDS LÄN</t>
        </is>
      </c>
      <c r="G10" t="inlineStr">
        <is>
          <t>SÄFFLE</t>
        </is>
      </c>
      <c r="I10" t="n">
        <v>16.9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Dropptaggsvamp
Blåmossa</t>
        </is>
      </c>
      <c r="W10">
        <f>HYPERLINK("https://klasma.github.io/Logging_1785/artfynd/A 24697-2024 artfynd.xlsx", "A 24697-2024")</f>
        <v/>
      </c>
      <c r="X10">
        <f>HYPERLINK("https://klasma.github.io/Logging_1785/kartor/A 24697-2024 karta.png", "A 24697-2024")</f>
        <v/>
      </c>
      <c r="Y10">
        <f>HYPERLINK("https://klasma.github.io/Logging_1785/kartor_geotiff/A 24697-2024 georefererad karta.tif", "A 24697-2024")</f>
        <v/>
      </c>
      <c r="AA10">
        <f>HYPERLINK("https://klasma.github.io/Logging_1785/klagomål/A 24697-2024 FSC-klagomål.docx", "A 24697-2024")</f>
        <v/>
      </c>
      <c r="AB10">
        <f>HYPERLINK("https://klasma.github.io/Logging_1785/klagomålsmail/A 24697-2024 FSC-klagomål mail.docx", "A 24697-2024")</f>
        <v/>
      </c>
      <c r="AC10">
        <f>HYPERLINK("https://klasma.github.io/Logging_1785/tillsyn/A 24697-2024 tillsynsbegäran.docx", "A 24697-2024")</f>
        <v/>
      </c>
      <c r="AD10">
        <f>HYPERLINK("https://klasma.github.io/Logging_1785/tillsynsmail/A 24697-2024 tillsynsbegäran mail.docx", "A 24697-2024")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46305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46305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46305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46305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46305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46305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46305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46305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18622-2025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46305</v>
      </c>
      <c r="F19" t="inlineStr">
        <is>
          <t>VÄRMLANDS LÄN</t>
        </is>
      </c>
      <c r="G19" t="inlineStr">
        <is>
          <t>SÄFFLE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Äkta lopplummer</t>
        </is>
      </c>
      <c r="W19">
        <f>HYPERLINK("https://klasma.github.io/Logging_1785/artfynd/A 18622-2025 artfynd.xlsx", "A 18622-2025")</f>
        <v/>
      </c>
      <c r="X19">
        <f>HYPERLINK("https://klasma.github.io/Logging_1785/kartor/A 18622-2025 karta.png", "A 18622-2025")</f>
        <v/>
      </c>
      <c r="Y19">
        <f>HYPERLINK("https://klasma.github.io/Logging_1785/kartor_geotiff/A 18622-2025 georefererad karta.tif", "A 18622-2025")</f>
        <v/>
      </c>
      <c r="AA19">
        <f>HYPERLINK("https://klasma.github.io/Logging_1785/klagomål/A 18622-2025 FSC-klagomål.docx", "A 18622-2025")</f>
        <v/>
      </c>
      <c r="AB19">
        <f>HYPERLINK("https://klasma.github.io/Logging_1785/klagomålsmail/A 18622-2025 FSC-klagomål mail.docx", "A 18622-2025")</f>
        <v/>
      </c>
      <c r="AC19">
        <f>HYPERLINK("https://klasma.github.io/Logging_1785/tillsyn/A 18622-2025 tillsynsbegäran.docx", "A 18622-2025")</f>
        <v/>
      </c>
      <c r="AD19">
        <f>HYPERLINK("https://klasma.github.io/Logging_1785/tillsynsmail/A 18622-2025 tillsynsbegäran mail.docx", "A 18622-2025")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46305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46305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46305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12740-2024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45384</v>
      </c>
      <c r="E23" s="1" t="n">
        <v>46305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Gullklöver</t>
        </is>
      </c>
      <c r="W23">
        <f>HYPERLINK("https://klasma.github.io/Logging_1785/artfynd/A 12740-2024 artfynd.xlsx", "A 12740-2024")</f>
        <v/>
      </c>
      <c r="X23">
        <f>HYPERLINK("https://klasma.github.io/Logging_1785/kartor/A 12740-2024 karta.png", "A 12740-2024")</f>
        <v/>
      </c>
      <c r="Y23">
        <f>HYPERLINK("https://klasma.github.io/Logging_1785/kartor_geotiff/A 12740-2024 georefererad karta.tif", "A 12740-2024")</f>
        <v/>
      </c>
      <c r="AA23">
        <f>HYPERLINK("https://klasma.github.io/Logging_1785/klagomål/A 12740-2024 FSC-klagomål.docx", "A 12740-2024")</f>
        <v/>
      </c>
      <c r="AB23">
        <f>HYPERLINK("https://klasma.github.io/Logging_1785/klagomålsmail/A 12740-2024 FSC-klagomål mail.docx", "A 12740-2024")</f>
        <v/>
      </c>
      <c r="AC23">
        <f>HYPERLINK("https://klasma.github.io/Logging_1785/tillsyn/A 12740-2024 tillsynsbegäran.docx", "A 12740-2024")</f>
        <v/>
      </c>
      <c r="AD23">
        <f>HYPERLINK("https://klasma.github.io/Logging_1785/tillsynsmail/A 12740-2024 tillsynsbegäran mail.docx", "A 12740-2024")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46305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46305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46305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46305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46305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46305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46305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46305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60965-2024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46305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HYPERLINK("https://klasma.github.io/Logging_1785/artfynd/A 60965-2024 artfynd.xlsx", "A 60965-2024")</f>
        <v/>
      </c>
      <c r="X32">
        <f>HYPERLINK("https://klasma.github.io/Logging_1785/kartor/A 60965-2024 karta.png", "A 60965-2024")</f>
        <v/>
      </c>
      <c r="Y32">
        <f>HYPERLINK("https://klasma.github.io/Logging_1785/kartor_geotiff/A 60965-2024 georefererad karta.tif", "A 60965-2024")</f>
        <v/>
      </c>
      <c r="AA32">
        <f>HYPERLINK("https://klasma.github.io/Logging_1785/klagomål/A 60965-2024 FSC-klagomål.docx", "A 60965-2024")</f>
        <v/>
      </c>
      <c r="AB32">
        <f>HYPERLINK("https://klasma.github.io/Logging_1785/klagomålsmail/A 60965-2024 FSC-klagomål mail.docx", "A 60965-2024")</f>
        <v/>
      </c>
      <c r="AC32">
        <f>HYPERLINK("https://klasma.github.io/Logging_1785/tillsyn/A 60965-2024 tillsynsbegäran.docx", "A 60965-2024")</f>
        <v/>
      </c>
      <c r="AD32">
        <f>HYPERLINK("https://klasma.github.io/Logging_1785/tillsynsmail/A 60965-2024 tillsynsbegäran mail.docx", "A 60965-2024")</f>
        <v/>
      </c>
    </row>
    <row r="33" ht="15" customHeight="1">
      <c r="A33" t="inlineStr">
        <is>
          <t>A 14738-2024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46305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Kortskaftad ärgspik</t>
        </is>
      </c>
      <c r="W33">
        <f>HYPERLINK("https://klasma.github.io/Logging_1785/artfynd/A 14738-2024 artfynd.xlsx", "A 14738-2024")</f>
        <v/>
      </c>
      <c r="X33">
        <f>HYPERLINK("https://klasma.github.io/Logging_1785/kartor/A 14738-2024 karta.png", "A 14738-2024")</f>
        <v/>
      </c>
      <c r="Y33">
        <f>HYPERLINK("https://klasma.github.io/Logging_1785/kartor_geotiff/A 14738-2024 georefererad karta.tif", "A 14738-2024")</f>
        <v/>
      </c>
      <c r="AA33">
        <f>HYPERLINK("https://klasma.github.io/Logging_1785/klagomål/A 14738-2024 FSC-klagomål.docx", "A 14738-2024")</f>
        <v/>
      </c>
      <c r="AB33">
        <f>HYPERLINK("https://klasma.github.io/Logging_1785/klagomålsmail/A 14738-2024 FSC-klagomål mail.docx", "A 14738-2024")</f>
        <v/>
      </c>
      <c r="AC33">
        <f>HYPERLINK("https://klasma.github.io/Logging_1785/tillsyn/A 14738-2024 tillsynsbegäran.docx", "A 14738-2024")</f>
        <v/>
      </c>
      <c r="AD33">
        <f>HYPERLINK("https://klasma.github.io/Logging_1785/tillsynsmail/A 14738-2024 tillsynsbegäran mail.docx", "A 14738-2024")</f>
        <v/>
      </c>
    </row>
    <row r="34" ht="15" customHeight="1">
      <c r="A34" t="inlineStr">
        <is>
          <t>A 61612-2024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45646</v>
      </c>
      <c r="E34" s="1" t="n">
        <v>46305</v>
      </c>
      <c r="F34" t="inlineStr">
        <is>
          <t>VÄRMLANDS LÄN</t>
        </is>
      </c>
      <c r="G34" t="inlineStr">
        <is>
          <t>SÄFFLE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Jungfrulin</t>
        </is>
      </c>
      <c r="W34">
        <f>HYPERLINK("https://klasma.github.io/Logging_1785/artfynd/A 61612-2024 artfynd.xlsx", "A 61612-2024")</f>
        <v/>
      </c>
      <c r="X34">
        <f>HYPERLINK("https://klasma.github.io/Logging_1785/kartor/A 61612-2024 karta.png", "A 61612-2024")</f>
        <v/>
      </c>
      <c r="Y34">
        <f>HYPERLINK("https://klasma.github.io/Logging_1785/kartor_geotiff/A 61612-2024 georefererad karta.tif", "A 61612-2024")</f>
        <v/>
      </c>
      <c r="AA34">
        <f>HYPERLINK("https://klasma.github.io/Logging_1785/klagomål/A 61612-2024 FSC-klagomål.docx", "A 61612-2024")</f>
        <v/>
      </c>
      <c r="AB34">
        <f>HYPERLINK("https://klasma.github.io/Logging_1785/klagomålsmail/A 61612-2024 FSC-klagomål mail.docx", "A 61612-2024")</f>
        <v/>
      </c>
      <c r="AC34">
        <f>HYPERLINK("https://klasma.github.io/Logging_1785/tillsyn/A 61612-2024 tillsynsbegäran.docx", "A 61612-2024")</f>
        <v/>
      </c>
      <c r="AD34">
        <f>HYPERLINK("https://klasma.github.io/Logging_1785/tillsynsmail/A 61612-2024 tillsynsbegäran mail.docx", "A 61612-2024")</f>
        <v/>
      </c>
    </row>
    <row r="35" ht="15" customHeight="1">
      <c r="A35" t="inlineStr">
        <is>
          <t>A 2342-2025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46305</v>
      </c>
      <c r="F35" t="inlineStr">
        <is>
          <t>VÄRMLANDS LÄN</t>
        </is>
      </c>
      <c r="G35" t="inlineStr">
        <is>
          <t>SÄFFLE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2342-2025 artfynd.xlsx", "A 2342-2025")</f>
        <v/>
      </c>
      <c r="X35">
        <f>HYPERLINK("https://klasma.github.io/Logging_1785/kartor/A 2342-2025 karta.png", "A 2342-2025")</f>
        <v/>
      </c>
      <c r="Y35">
        <f>HYPERLINK("https://klasma.github.io/Logging_1785/kartor_geotiff/A 2342-2025 georefererad karta.tif", "A 2342-2025")</f>
        <v/>
      </c>
      <c r="AA35">
        <f>HYPERLINK("https://klasma.github.io/Logging_1785/klagomål/A 2342-2025 FSC-klagomål.docx", "A 2342-2025")</f>
        <v/>
      </c>
      <c r="AB35">
        <f>HYPERLINK("https://klasma.github.io/Logging_1785/klagomålsmail/A 2342-2025 FSC-klagomål mail.docx", "A 2342-2025")</f>
        <v/>
      </c>
      <c r="AC35">
        <f>HYPERLINK("https://klasma.github.io/Logging_1785/tillsyn/A 2342-2025 tillsynsbegäran.docx", "A 2342-2025")</f>
        <v/>
      </c>
      <c r="AD35">
        <f>HYPERLINK("https://klasma.github.io/Logging_1785/tillsynsmail/A 2342-2025 tillsynsbegäran mail.docx", "A 2342-2025")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46305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59289-2025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46305</v>
      </c>
      <c r="F37" t="inlineStr">
        <is>
          <t>VÄRMLANDS LÄN</t>
        </is>
      </c>
      <c r="G37" t="inlineStr">
        <is>
          <t>SÄFFLE</t>
        </is>
      </c>
      <c r="I37" t="n">
        <v>0.8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HYPERLINK("https://klasma.github.io/Logging_1785/artfynd/A 59289-2025 artfynd.xlsx", "A 59289-2025")</f>
        <v/>
      </c>
      <c r="X37">
        <f>HYPERLINK("https://klasma.github.io/Logging_1785/kartor/A 59289-2025 karta.png", "A 59289-2025")</f>
        <v/>
      </c>
      <c r="Y37">
        <f>HYPERLINK("https://klasma.github.io/Logging_1785/kartor_geotiff/A 59289-2025 georefererad karta.tif", "A 59289-2025")</f>
        <v/>
      </c>
      <c r="AA37">
        <f>HYPERLINK("https://klasma.github.io/Logging_1785/klagomål/A 59289-2025 FSC-klagomål.docx", "A 59289-2025")</f>
        <v/>
      </c>
      <c r="AB37">
        <f>HYPERLINK("https://klasma.github.io/Logging_1785/klagomålsmail/A 59289-2025 FSC-klagomål mail.docx", "A 59289-2025")</f>
        <v/>
      </c>
      <c r="AC37">
        <f>HYPERLINK("https://klasma.github.io/Logging_1785/tillsyn/A 59289-2025 tillsynsbegäran.docx", "A 59289-2025")</f>
        <v/>
      </c>
      <c r="AD37">
        <f>HYPERLINK("https://klasma.github.io/Logging_1785/tillsynsmail/A 59289-2025 tillsynsbegäran mail.docx", "A 59289-2025")</f>
        <v/>
      </c>
    </row>
    <row r="38" ht="15" customHeight="1">
      <c r="A38" t="inlineStr">
        <is>
          <t>A 1717-2023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46305</v>
      </c>
      <c r="F38" t="inlineStr">
        <is>
          <t>VÄRMLANDS LÄN</t>
        </is>
      </c>
      <c r="G38" t="inlineStr">
        <is>
          <t>SÄFFLE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1717-2023 artfynd.xlsx", "A 1717-2023")</f>
        <v/>
      </c>
      <c r="X38">
        <f>HYPERLINK("https://klasma.github.io/Logging_1785/kartor/A 1717-2023 karta.png", "A 1717-2023")</f>
        <v/>
      </c>
      <c r="Y38">
        <f>HYPERLINK("https://klasma.github.io/Logging_1785/kartor_geotiff/A 1717-2023 georefererad karta.tif", "A 1717-2023")</f>
        <v/>
      </c>
      <c r="AA38">
        <f>HYPERLINK("https://klasma.github.io/Logging_1785/klagomål/A 1717-2023 FSC-klagomål.docx", "A 1717-2023")</f>
        <v/>
      </c>
      <c r="AB38">
        <f>HYPERLINK("https://klasma.github.io/Logging_1785/klagomålsmail/A 1717-2023 FSC-klagomål mail.docx", "A 1717-2023")</f>
        <v/>
      </c>
      <c r="AC38">
        <f>HYPERLINK("https://klasma.github.io/Logging_1785/tillsyn/A 1717-2023 tillsynsbegäran.docx", "A 1717-2023")</f>
        <v/>
      </c>
      <c r="AD38">
        <f>HYPERLINK("https://klasma.github.io/Logging_1785/tillsynsmail/A 1717-2023 tillsynsbegäran mail.docx", "A 1717-2023")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46305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46305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46305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37943-2026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46305</v>
      </c>
      <c r="F42" t="inlineStr">
        <is>
          <t>VÄRMLANDS LÄN</t>
        </is>
      </c>
      <c r="G42" t="inlineStr">
        <is>
          <t>SÄFFLE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Rönnfibbla</t>
        </is>
      </c>
      <c r="W42">
        <f>HYPERLINK("https://klasma.github.io/Logging_1785/artfynd/A 37943-2026 artfynd.xlsx", "A 37943-2026")</f>
        <v/>
      </c>
      <c r="X42">
        <f>HYPERLINK("https://klasma.github.io/Logging_1785/kartor/A 37943-2026 karta.png", "A 37943-2026")</f>
        <v/>
      </c>
      <c r="Y42">
        <f>HYPERLINK("https://klasma.github.io/Logging_1785/kartor_geotiff/A 37943-2026 georefererad karta.tif", "A 37943-2026")</f>
        <v/>
      </c>
      <c r="AA42">
        <f>HYPERLINK("https://klasma.github.io/Logging_1785/klagomål/A 37943-2026 FSC-klagomål.docx", "A 37943-2026")</f>
        <v/>
      </c>
      <c r="AB42">
        <f>HYPERLINK("https://klasma.github.io/Logging_1785/klagomålsmail/A 37943-2026 FSC-klagomål mail.docx", "A 37943-2026")</f>
        <v/>
      </c>
      <c r="AC42">
        <f>HYPERLINK("https://klasma.github.io/Logging_1785/tillsyn/A 37943-2026 tillsynsbegäran.docx", "A 37943-2026")</f>
        <v/>
      </c>
      <c r="AD42">
        <f>HYPERLINK("https://klasma.github.io/Logging_1785/tillsynsmail/A 37943-2026 tillsynsbegäran mail.docx", "A 37943-2026")</f>
        <v/>
      </c>
    </row>
    <row r="43" ht="15" customHeight="1">
      <c r="A43" t="inlineStr">
        <is>
          <t>A 42132-2026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46304</v>
      </c>
      <c r="E43" s="1" t="n">
        <v>46305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42132-2026 artfynd.xlsx", "A 42132-2026")</f>
        <v/>
      </c>
      <c r="X43">
        <f>HYPERLINK("https://klasma.github.io/Logging_1785/kartor/A 42132-2026 karta.png", "A 42132-2026")</f>
        <v/>
      </c>
      <c r="Y43">
        <f>HYPERLINK("https://klasma.github.io/Logging_1785/kartor_geotiff/A 42132-2026 georefererad karta.tif", "A 42132-2026")</f>
        <v/>
      </c>
      <c r="AA43">
        <f>HYPERLINK("https://klasma.github.io/Logging_1785/klagomål/A 42132-2026 FSC-klagomål.docx", "A 42132-2026")</f>
        <v/>
      </c>
      <c r="AB43">
        <f>HYPERLINK("https://klasma.github.io/Logging_1785/klagomålsmail/A 42132-2026 FSC-klagomål mail.docx", "A 42132-2026")</f>
        <v/>
      </c>
      <c r="AC43">
        <f>HYPERLINK("https://klasma.github.io/Logging_1785/tillsyn/A 42132-2026 tillsynsbegäran.docx", "A 42132-2026")</f>
        <v/>
      </c>
      <c r="AD43">
        <f>HYPERLINK("https://klasma.github.io/Logging_1785/tillsynsmail/A 42132-2026 tillsynsbegäran mail.docx", "A 42132-2026")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46305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46305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46305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46305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46305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46305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46305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46305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46305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46305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46305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46305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46305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46305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46305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46305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46305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46305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46305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46305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46305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46305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46305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46305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46305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46305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46305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46305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46305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46305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46305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46305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46305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46305</v>
      </c>
      <c r="F77" t="inlineStr">
        <is>
          <t>VÄRMLANDS LÄN</t>
        </is>
      </c>
      <c r="G77" t="inlineStr">
        <is>
          <t>SÄFFLE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68155-2021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46305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46305</v>
      </c>
      <c r="F79" t="inlineStr">
        <is>
          <t>VÄRMLANDS LÄN</t>
        </is>
      </c>
      <c r="G79" t="inlineStr">
        <is>
          <t>SÄFFLE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46305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46305</v>
      </c>
      <c r="F81" t="inlineStr">
        <is>
          <t>VÄRMLANDS LÄN</t>
        </is>
      </c>
      <c r="G81" t="inlineStr">
        <is>
          <t>SÄFFLE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46305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46305</v>
      </c>
      <c r="F83" t="inlineStr">
        <is>
          <t>VÄRMLANDS LÄN</t>
        </is>
      </c>
      <c r="G83" t="inlineStr">
        <is>
          <t>SÄFFLE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46305</v>
      </c>
      <c r="F84" t="inlineStr">
        <is>
          <t>VÄRMLANDS LÄN</t>
        </is>
      </c>
      <c r="G84" t="inlineStr">
        <is>
          <t>SÄFFLE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46305</v>
      </c>
      <c r="F85" t="inlineStr">
        <is>
          <t>VÄRMLANDS LÄN</t>
        </is>
      </c>
      <c r="G85" t="inlineStr">
        <is>
          <t>SÄFFLE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46305</v>
      </c>
      <c r="F86" t="inlineStr">
        <is>
          <t>VÄRMLANDS LÄN</t>
        </is>
      </c>
      <c r="G86" t="inlineStr">
        <is>
          <t>SÄFFLE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46305</v>
      </c>
      <c r="F87" t="inlineStr">
        <is>
          <t>VÄRMLANDS LÄN</t>
        </is>
      </c>
      <c r="G87" t="inlineStr">
        <is>
          <t>SÄFFLE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46305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70962-2021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46305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46305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46305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46305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44819</v>
      </c>
      <c r="E93" s="1" t="n">
        <v>46305</v>
      </c>
      <c r="F93" t="inlineStr">
        <is>
          <t>VÄRMLANDS LÄN</t>
        </is>
      </c>
      <c r="G93" t="inlineStr">
        <is>
          <t>SÄFFLE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64442-2021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46305</v>
      </c>
      <c r="F94" t="inlineStr">
        <is>
          <t>VÄRMLANDS LÄN</t>
        </is>
      </c>
      <c r="G94" t="inlineStr">
        <is>
          <t>SÄFFLE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46305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46305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46305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46305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46305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46305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46305</v>
      </c>
      <c r="F101" t="inlineStr">
        <is>
          <t>VÄRMLANDS LÄN</t>
        </is>
      </c>
      <c r="G101" t="inlineStr">
        <is>
          <t>SÄFFLE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46305</v>
      </c>
      <c r="F102" t="inlineStr">
        <is>
          <t>VÄRMLANDS LÄN</t>
        </is>
      </c>
      <c r="G102" t="inlineStr">
        <is>
          <t>SÄFFLE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46305</v>
      </c>
      <c r="F103" t="inlineStr">
        <is>
          <t>VÄRMLANDS LÄN</t>
        </is>
      </c>
      <c r="G103" t="inlineStr">
        <is>
          <t>SÄFFLE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46305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46305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46305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46305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73162-2021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44550</v>
      </c>
      <c r="E108" s="1" t="n">
        <v>46305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46305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46305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46305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46305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46305</v>
      </c>
      <c r="F113" t="inlineStr">
        <is>
          <t>VÄRMLANDS LÄN</t>
        </is>
      </c>
      <c r="G113" t="inlineStr">
        <is>
          <t>SÄFFLE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46305</v>
      </c>
      <c r="F114" t="inlineStr">
        <is>
          <t>VÄRMLANDS LÄN</t>
        </is>
      </c>
      <c r="G114" t="inlineStr">
        <is>
          <t>SÄFFLE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46305</v>
      </c>
      <c r="F115" t="inlineStr">
        <is>
          <t>VÄRMLANDS LÄN</t>
        </is>
      </c>
      <c r="G115" t="inlineStr">
        <is>
          <t>SÄFFLE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46305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46305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46305</v>
      </c>
      <c r="F118" t="inlineStr">
        <is>
          <t>VÄRMLANDS LÄN</t>
        </is>
      </c>
      <c r="G118" t="inlineStr">
        <is>
          <t>SÄFFLE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40630-2022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44823</v>
      </c>
      <c r="E119" s="1" t="n">
        <v>46305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46305</v>
      </c>
      <c r="F120" t="inlineStr">
        <is>
          <t>VÄRMLANDS LÄN</t>
        </is>
      </c>
      <c r="G120" t="inlineStr">
        <is>
          <t>SÄFFLE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44829</v>
      </c>
      <c r="E121" s="1" t="n">
        <v>46305</v>
      </c>
      <c r="F121" t="inlineStr">
        <is>
          <t>VÄRMLANDS LÄN</t>
        </is>
      </c>
      <c r="G121" t="inlineStr">
        <is>
          <t>SÄFFLE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46305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46305</v>
      </c>
      <c r="F123" t="inlineStr">
        <is>
          <t>VÄRMLANDS LÄN</t>
        </is>
      </c>
      <c r="G123" t="inlineStr">
        <is>
          <t>SÄFFLE</t>
        </is>
      </c>
      <c r="H123" t="inlineStr">
        <is>
          <t>Kyrkan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46305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46305</v>
      </c>
      <c r="F125" t="inlineStr">
        <is>
          <t>VÄRMLANDS LÄN</t>
        </is>
      </c>
      <c r="G125" t="inlineStr">
        <is>
          <t>SÄFFLE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46305</v>
      </c>
      <c r="F126" t="inlineStr">
        <is>
          <t>VÄRMLANDS LÄN</t>
        </is>
      </c>
      <c r="G126" t="inlineStr">
        <is>
          <t>SÄFFLE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44880</v>
      </c>
      <c r="E127" s="1" t="n">
        <v>46305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46305</v>
      </c>
      <c r="F128" t="inlineStr">
        <is>
          <t>VÄRMLANDS LÄN</t>
        </is>
      </c>
      <c r="G128" t="inlineStr">
        <is>
          <t>SÄFFLE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45078</v>
      </c>
      <c r="E129" s="1" t="n">
        <v>46305</v>
      </c>
      <c r="F129" t="inlineStr">
        <is>
          <t>VÄRMLANDS LÄN</t>
        </is>
      </c>
      <c r="G129" t="inlineStr">
        <is>
          <t>SÄFFLE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46305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46305</v>
      </c>
      <c r="F131" t="inlineStr">
        <is>
          <t>VÄRMLANDS LÄN</t>
        </is>
      </c>
      <c r="G131" t="inlineStr">
        <is>
          <t>SÄFFLE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46305</v>
      </c>
      <c r="F132" t="inlineStr">
        <is>
          <t>VÄRMLANDS LÄN</t>
        </is>
      </c>
      <c r="G132" t="inlineStr">
        <is>
          <t>SÄFFLE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46305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46305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46305</v>
      </c>
      <c r="F135" t="inlineStr">
        <is>
          <t>VÄRMLANDS LÄN</t>
        </is>
      </c>
      <c r="G135" t="inlineStr">
        <is>
          <t>SÄFFLE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46305</v>
      </c>
      <c r="F136" t="inlineStr">
        <is>
          <t>VÄRMLANDS LÄN</t>
        </is>
      </c>
      <c r="G136" t="inlineStr">
        <is>
          <t>SÄFFLE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46305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46305</v>
      </c>
      <c r="F138" t="inlineStr">
        <is>
          <t>VÄRMLANDS LÄN</t>
        </is>
      </c>
      <c r="G138" t="inlineStr">
        <is>
          <t>SÄFFLE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46305</v>
      </c>
      <c r="F139" t="inlineStr">
        <is>
          <t>VÄRMLANDS LÄN</t>
        </is>
      </c>
      <c r="G139" t="inlineStr">
        <is>
          <t>SÄFFLE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46305</v>
      </c>
      <c r="F140" t="inlineStr">
        <is>
          <t>VÄRMLANDS LÄN</t>
        </is>
      </c>
      <c r="G140" t="inlineStr">
        <is>
          <t>SÄFFLE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46305</v>
      </c>
      <c r="F141" t="inlineStr">
        <is>
          <t>VÄRMLANDS LÄN</t>
        </is>
      </c>
      <c r="G141" t="inlineStr">
        <is>
          <t>SÄFFLE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45712</v>
      </c>
      <c r="E142" s="1" t="n">
        <v>46305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67203-2021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46305</v>
      </c>
      <c r="F143" t="inlineStr">
        <is>
          <t>VÄRMLANDS LÄN</t>
        </is>
      </c>
      <c r="G143" t="inlineStr">
        <is>
          <t>SÄFFLE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46305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63781-2023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45278</v>
      </c>
      <c r="E145" s="1" t="n">
        <v>46305</v>
      </c>
      <c r="F145" t="inlineStr">
        <is>
          <t>VÄRMLANDS LÄN</t>
        </is>
      </c>
      <c r="G145" t="inlineStr">
        <is>
          <t>SÄFFLE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45522</v>
      </c>
      <c r="E146" s="1" t="n">
        <v>46305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46305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45356</v>
      </c>
      <c r="E148" s="1" t="n">
        <v>46305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46305</v>
      </c>
      <c r="F149" t="inlineStr">
        <is>
          <t>VÄRMLANDS LÄN</t>
        </is>
      </c>
      <c r="G149" t="inlineStr">
        <is>
          <t>SÄFFLE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45495</v>
      </c>
      <c r="E150" s="1" t="n">
        <v>46305</v>
      </c>
      <c r="F150" t="inlineStr">
        <is>
          <t>VÄRMLANDS LÄN</t>
        </is>
      </c>
      <c r="G150" t="inlineStr">
        <is>
          <t>SÄFFLE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46305</v>
      </c>
      <c r="F151" t="inlineStr">
        <is>
          <t>VÄRMLANDS LÄN</t>
        </is>
      </c>
      <c r="G151" t="inlineStr">
        <is>
          <t>SÄFFLE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44758</v>
      </c>
      <c r="E152" s="1" t="n">
        <v>46305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46305</v>
      </c>
      <c r="F153" t="inlineStr">
        <is>
          <t>VÄRMLANDS LÄN</t>
        </is>
      </c>
      <c r="G153" t="inlineStr">
        <is>
          <t>SÄFFLE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46305</v>
      </c>
      <c r="F154" t="inlineStr">
        <is>
          <t>VÄRMLANDS LÄN</t>
        </is>
      </c>
      <c r="G154" t="inlineStr">
        <is>
          <t>SÄFFLE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58105-2021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46305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45368</v>
      </c>
      <c r="E156" s="1" t="n">
        <v>46305</v>
      </c>
      <c r="F156" t="inlineStr">
        <is>
          <t>VÄRMLANDS LÄN</t>
        </is>
      </c>
      <c r="G156" t="inlineStr">
        <is>
          <t>SÄFFLE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46305</v>
      </c>
      <c r="F157" t="inlineStr">
        <is>
          <t>VÄRMLANDS LÄN</t>
        </is>
      </c>
      <c r="G157" t="inlineStr">
        <is>
          <t>SÄFFLE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46305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46305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40759-2024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45558</v>
      </c>
      <c r="E160" s="1" t="n">
        <v>46305</v>
      </c>
      <c r="F160" t="inlineStr">
        <is>
          <t>VÄRMLANDS LÄN</t>
        </is>
      </c>
      <c r="G160" t="inlineStr">
        <is>
          <t>SÄFFLE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45454</v>
      </c>
      <c r="E161" s="1" t="n">
        <v>46305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64061-2021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44509</v>
      </c>
      <c r="E162" s="1" t="n">
        <v>46305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12.6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45127</v>
      </c>
      <c r="E163" s="1" t="n">
        <v>46305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44868</v>
      </c>
      <c r="E164" s="1" t="n">
        <v>46305</v>
      </c>
      <c r="F164" t="inlineStr">
        <is>
          <t>VÄRMLANDS LÄN</t>
        </is>
      </c>
      <c r="G164" t="inlineStr">
        <is>
          <t>SÄFFLE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46305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46305</v>
      </c>
      <c r="F166" t="inlineStr">
        <is>
          <t>VÄRMLANDS LÄN</t>
        </is>
      </c>
      <c r="G166" t="inlineStr">
        <is>
          <t>SÄFFLE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46305</v>
      </c>
      <c r="F167" t="inlineStr">
        <is>
          <t>VÄRMLANDS LÄN</t>
        </is>
      </c>
      <c r="G167" t="inlineStr">
        <is>
          <t>SÄFFLE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45237</v>
      </c>
      <c r="E168" s="1" t="n">
        <v>46305</v>
      </c>
      <c r="F168" t="inlineStr">
        <is>
          <t>VÄRMLANDS LÄN</t>
        </is>
      </c>
      <c r="G168" t="inlineStr">
        <is>
          <t>SÄFFLE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73119-2021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44546</v>
      </c>
      <c r="E169" s="1" t="n">
        <v>46305</v>
      </c>
      <c r="F169" t="inlineStr">
        <is>
          <t>VÄRMLANDS LÄN</t>
        </is>
      </c>
      <c r="G169" t="inlineStr">
        <is>
          <t>SÄFFLE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46305</v>
      </c>
      <c r="F170" t="inlineStr">
        <is>
          <t>VÄRMLANDS LÄN</t>
        </is>
      </c>
      <c r="G170" t="inlineStr">
        <is>
          <t>SÄFFLE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73157-2021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44550</v>
      </c>
      <c r="E171" s="1" t="n">
        <v>46305</v>
      </c>
      <c r="F171" t="inlineStr">
        <is>
          <t>VÄRMLANDS LÄN</t>
        </is>
      </c>
      <c r="G171" t="inlineStr">
        <is>
          <t>SÄFFLE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46305</v>
      </c>
      <c r="F172" t="inlineStr">
        <is>
          <t>VÄRMLANDS LÄN</t>
        </is>
      </c>
      <c r="G172" t="inlineStr">
        <is>
          <t>SÄFFLE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46305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45457</v>
      </c>
      <c r="E174" s="1" t="n">
        <v>46305</v>
      </c>
      <c r="F174" t="inlineStr">
        <is>
          <t>VÄRMLANDS LÄN</t>
        </is>
      </c>
      <c r="G174" t="inlineStr">
        <is>
          <t>SÄFFLE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46305</v>
      </c>
      <c r="F175" t="inlineStr">
        <is>
          <t>VÄRMLANDS LÄN</t>
        </is>
      </c>
      <c r="G175" t="inlineStr">
        <is>
          <t>SÄFFLE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46305</v>
      </c>
      <c r="F176" t="inlineStr">
        <is>
          <t>VÄRMLANDS LÄN</t>
        </is>
      </c>
      <c r="G176" t="inlineStr">
        <is>
          <t>SÄFFLE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46305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46305</v>
      </c>
      <c r="F178" t="inlineStr">
        <is>
          <t>VÄRMLANDS LÄN</t>
        </is>
      </c>
      <c r="G178" t="inlineStr">
        <is>
          <t>SÄFFLE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46305</v>
      </c>
      <c r="F179" t="inlineStr">
        <is>
          <t>VÄRMLANDS LÄN</t>
        </is>
      </c>
      <c r="G179" t="inlineStr">
        <is>
          <t>SÄFFLE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46305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46305</v>
      </c>
      <c r="F181" t="inlineStr">
        <is>
          <t>VÄRMLANDS LÄN</t>
        </is>
      </c>
      <c r="G181" t="inlineStr">
        <is>
          <t>SÄFFLE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46305</v>
      </c>
      <c r="F182" t="inlineStr">
        <is>
          <t>VÄRMLANDS LÄN</t>
        </is>
      </c>
      <c r="G182" t="inlineStr">
        <is>
          <t>SÄFFLE</t>
        </is>
      </c>
      <c r="I182" t="n">
        <v>20.7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46305</v>
      </c>
      <c r="F183" t="inlineStr">
        <is>
          <t>VÄRMLANDS LÄN</t>
        </is>
      </c>
      <c r="G183" t="inlineStr">
        <is>
          <t>SÄFFLE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46305</v>
      </c>
      <c r="F184" t="inlineStr">
        <is>
          <t>VÄRMLANDS LÄN</t>
        </is>
      </c>
      <c r="G184" t="inlineStr">
        <is>
          <t>SÄFFLE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45324</v>
      </c>
      <c r="E185" s="1" t="n">
        <v>46305</v>
      </c>
      <c r="F185" t="inlineStr">
        <is>
          <t>VÄRMLANDS LÄN</t>
        </is>
      </c>
      <c r="G185" t="inlineStr">
        <is>
          <t>SÄFFLE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46305</v>
      </c>
      <c r="F186" t="inlineStr">
        <is>
          <t>VÄRMLANDS LÄN</t>
        </is>
      </c>
      <c r="G186" t="inlineStr">
        <is>
          <t>SÄFFLE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44976</v>
      </c>
      <c r="E187" s="1" t="n">
        <v>46305</v>
      </c>
      <c r="F187" t="inlineStr">
        <is>
          <t>VÄRMLANDS LÄN</t>
        </is>
      </c>
      <c r="G187" t="inlineStr">
        <is>
          <t>SÄFFLE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46305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45055</v>
      </c>
      <c r="E189" s="1" t="n">
        <v>46305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46305</v>
      </c>
      <c r="F190" t="inlineStr">
        <is>
          <t>VÄRMLANDS LÄN</t>
        </is>
      </c>
      <c r="G190" t="inlineStr">
        <is>
          <t>SÄFFLE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46305</v>
      </c>
      <c r="F191" t="inlineStr">
        <is>
          <t>VÄRMLANDS LÄN</t>
        </is>
      </c>
      <c r="G191" t="inlineStr">
        <is>
          <t>SÄFFLE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46305</v>
      </c>
      <c r="F192" t="inlineStr">
        <is>
          <t>VÄRMLANDS LÄN</t>
        </is>
      </c>
      <c r="G192" t="inlineStr">
        <is>
          <t>SÄFFLE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46305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46305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46305</v>
      </c>
      <c r="F195" t="inlineStr">
        <is>
          <t>VÄRMLANDS LÄN</t>
        </is>
      </c>
      <c r="G195" t="inlineStr">
        <is>
          <t>SÄFFLE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46305</v>
      </c>
      <c r="F196" t="inlineStr">
        <is>
          <t>VÄRMLANDS LÄN</t>
        </is>
      </c>
      <c r="G196" t="inlineStr">
        <is>
          <t>SÄFFLE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46305</v>
      </c>
      <c r="F197" t="inlineStr">
        <is>
          <t>VÄRMLANDS LÄN</t>
        </is>
      </c>
      <c r="G197" t="inlineStr">
        <is>
          <t>SÄFFLE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46305</v>
      </c>
      <c r="F198" t="inlineStr">
        <is>
          <t>VÄRMLANDS LÄN</t>
        </is>
      </c>
      <c r="G198" t="inlineStr">
        <is>
          <t>SÄFFLE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46305</v>
      </c>
      <c r="F199" t="inlineStr">
        <is>
          <t>VÄRMLANDS LÄN</t>
        </is>
      </c>
      <c r="G199" t="inlineStr">
        <is>
          <t>SÄFFLE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46305</v>
      </c>
      <c r="F200" t="inlineStr">
        <is>
          <t>VÄRMLANDS LÄN</t>
        </is>
      </c>
      <c r="G200" t="inlineStr">
        <is>
          <t>SÄFFLE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64073-2023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45279</v>
      </c>
      <c r="E201" s="1" t="n">
        <v>46305</v>
      </c>
      <c r="F201" t="inlineStr">
        <is>
          <t>VÄRMLANDS LÄN</t>
        </is>
      </c>
      <c r="G201" t="inlineStr">
        <is>
          <t>SÄFFLE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46305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46305</v>
      </c>
      <c r="F203" t="inlineStr">
        <is>
          <t>VÄRMLANDS LÄN</t>
        </is>
      </c>
      <c r="G203" t="inlineStr">
        <is>
          <t>SÄFFLE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44921</v>
      </c>
      <c r="E204" s="1" t="n">
        <v>46305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45361</v>
      </c>
      <c r="E205" s="1" t="n">
        <v>46305</v>
      </c>
      <c r="F205" t="inlineStr">
        <is>
          <t>VÄRMLANDS LÄN</t>
        </is>
      </c>
      <c r="G205" t="inlineStr">
        <is>
          <t>SÄFFLE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46305</v>
      </c>
      <c r="F206" t="inlineStr">
        <is>
          <t>VÄRMLANDS LÄN</t>
        </is>
      </c>
      <c r="G206" t="inlineStr">
        <is>
          <t>SÄFFLE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46305</v>
      </c>
      <c r="F207" t="inlineStr">
        <is>
          <t>VÄRMLANDS LÄN</t>
        </is>
      </c>
      <c r="G207" t="inlineStr">
        <is>
          <t>SÄFFLE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45877</v>
      </c>
      <c r="E208" s="1" t="n">
        <v>46305</v>
      </c>
      <c r="F208" t="inlineStr">
        <is>
          <t>VÄRMLANDS LÄN</t>
        </is>
      </c>
      <c r="G208" t="inlineStr">
        <is>
          <t>SÄFFLE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46305</v>
      </c>
      <c r="F209" t="inlineStr">
        <is>
          <t>VÄRMLANDS LÄN</t>
        </is>
      </c>
      <c r="G209" t="inlineStr">
        <is>
          <t>SÄFFLE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46305</v>
      </c>
      <c r="F210" t="inlineStr">
        <is>
          <t>VÄRMLANDS LÄN</t>
        </is>
      </c>
      <c r="G210" t="inlineStr">
        <is>
          <t>SÄFFLE</t>
        </is>
      </c>
      <c r="H210" t="inlineStr">
        <is>
          <t>Bergvik skog väst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46305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46305</v>
      </c>
      <c r="F212" t="inlineStr">
        <is>
          <t>VÄRMLANDS LÄN</t>
        </is>
      </c>
      <c r="G212" t="inlineStr">
        <is>
          <t>SÄFFLE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46305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46305</v>
      </c>
      <c r="F214" t="inlineStr">
        <is>
          <t>VÄRMLANDS LÄN</t>
        </is>
      </c>
      <c r="G214" t="inlineStr">
        <is>
          <t>SÄFFLE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46305</v>
      </c>
      <c r="F215" t="inlineStr">
        <is>
          <t>VÄRMLANDS LÄN</t>
        </is>
      </c>
      <c r="G215" t="inlineStr">
        <is>
          <t>SÄFFLE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46305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46305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45425</v>
      </c>
      <c r="E218" s="1" t="n">
        <v>46305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46305</v>
      </c>
      <c r="F219" t="inlineStr">
        <is>
          <t>VÄRMLANDS LÄN</t>
        </is>
      </c>
      <c r="G219" t="inlineStr">
        <is>
          <t>SÄFFLE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46305</v>
      </c>
      <c r="F220" t="inlineStr">
        <is>
          <t>VÄRMLANDS LÄN</t>
        </is>
      </c>
      <c r="G220" t="inlineStr">
        <is>
          <t>SÄFFLE</t>
        </is>
      </c>
      <c r="I220" t="n">
        <v>29.5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46305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46305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46305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45176</v>
      </c>
      <c r="E224" s="1" t="n">
        <v>46305</v>
      </c>
      <c r="F224" t="inlineStr">
        <is>
          <t>VÄRMLANDS LÄN</t>
        </is>
      </c>
      <c r="G224" t="inlineStr">
        <is>
          <t>SÄFFLE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46305</v>
      </c>
      <c r="F225" t="inlineStr">
        <is>
          <t>VÄRMLANDS LÄN</t>
        </is>
      </c>
      <c r="G225" t="inlineStr">
        <is>
          <t>SÄFFLE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44994</v>
      </c>
      <c r="E226" s="1" t="n">
        <v>46305</v>
      </c>
      <c r="F226" t="inlineStr">
        <is>
          <t>VÄRMLANDS LÄN</t>
        </is>
      </c>
      <c r="G226" t="inlineStr">
        <is>
          <t>SÄFFLE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46305</v>
      </c>
      <c r="F227" t="inlineStr">
        <is>
          <t>VÄRMLANDS LÄN</t>
        </is>
      </c>
      <c r="G227" t="inlineStr">
        <is>
          <t>SÄFFLE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46305</v>
      </c>
      <c r="F228" t="inlineStr">
        <is>
          <t>VÄRMLANDS LÄN</t>
        </is>
      </c>
      <c r="G228" t="inlineStr">
        <is>
          <t>SÄFFLE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46305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46305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45893</v>
      </c>
      <c r="E231" s="1" t="n">
        <v>46305</v>
      </c>
      <c r="F231" t="inlineStr">
        <is>
          <t>VÄRMLANDS LÄN</t>
        </is>
      </c>
      <c r="G231" t="inlineStr">
        <is>
          <t>SÄFFLE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45893</v>
      </c>
      <c r="E232" s="1" t="n">
        <v>46305</v>
      </c>
      <c r="F232" t="inlineStr">
        <is>
          <t>VÄRMLANDS LÄN</t>
        </is>
      </c>
      <c r="G232" t="inlineStr">
        <is>
          <t>SÄFFLE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39984-2025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45893</v>
      </c>
      <c r="E233" s="1" t="n">
        <v>46305</v>
      </c>
      <c r="F233" t="inlineStr">
        <is>
          <t>VÄRMLANDS LÄN</t>
        </is>
      </c>
      <c r="G233" t="inlineStr">
        <is>
          <t>SÄFFLE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39986-2025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45893</v>
      </c>
      <c r="E234" s="1" t="n">
        <v>46305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46305</v>
      </c>
      <c r="F235" t="inlineStr">
        <is>
          <t>VÄRMLANDS LÄN</t>
        </is>
      </c>
      <c r="G235" t="inlineStr">
        <is>
          <t>SÄFFLE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46305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46305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45677</v>
      </c>
      <c r="E238" s="1" t="n">
        <v>46305</v>
      </c>
      <c r="F238" t="inlineStr">
        <is>
          <t>VÄRMLANDS LÄN</t>
        </is>
      </c>
      <c r="G238" t="inlineStr">
        <is>
          <t>SÄFFLE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44509</v>
      </c>
      <c r="E239" s="1" t="n">
        <v>46305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46305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46305</v>
      </c>
      <c r="F241" t="inlineStr">
        <is>
          <t>VÄRMLANDS LÄN</t>
        </is>
      </c>
      <c r="G241" t="inlineStr">
        <is>
          <t>SÄFFLE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64803-2021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46305</v>
      </c>
      <c r="F242" t="inlineStr">
        <is>
          <t>VÄRMLANDS LÄN</t>
        </is>
      </c>
      <c r="G242" t="inlineStr">
        <is>
          <t>SÄFFLE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46305</v>
      </c>
      <c r="F243" t="inlineStr">
        <is>
          <t>VÄRMLANDS LÄN</t>
        </is>
      </c>
      <c r="G243" t="inlineStr">
        <is>
          <t>SÄFFLE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46305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46305</v>
      </c>
      <c r="F245" t="inlineStr">
        <is>
          <t>VÄRMLANDS LÄN</t>
        </is>
      </c>
      <c r="G245" t="inlineStr">
        <is>
          <t>SÄFFLE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46305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44734</v>
      </c>
      <c r="E247" s="1" t="n">
        <v>46305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46305</v>
      </c>
      <c r="F248" t="inlineStr">
        <is>
          <t>VÄRMLANDS LÄN</t>
        </is>
      </c>
      <c r="G248" t="inlineStr">
        <is>
          <t>SÄFFLE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46305</v>
      </c>
      <c r="F249" t="inlineStr">
        <is>
          <t>VÄRMLANDS LÄN</t>
        </is>
      </c>
      <c r="G249" t="inlineStr">
        <is>
          <t>SÄFFLE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46305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46305</v>
      </c>
      <c r="F251" t="inlineStr">
        <is>
          <t>VÄRMLANDS LÄN</t>
        </is>
      </c>
      <c r="G251" t="inlineStr">
        <is>
          <t>SÄFFLE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46305</v>
      </c>
      <c r="F252" t="inlineStr">
        <is>
          <t>VÄRMLANDS LÄN</t>
        </is>
      </c>
      <c r="G252" t="inlineStr">
        <is>
          <t>SÄFFLE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46305</v>
      </c>
      <c r="F253" t="inlineStr">
        <is>
          <t>VÄRMLANDS LÄN</t>
        </is>
      </c>
      <c r="G253" t="inlineStr">
        <is>
          <t>SÄFFLE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46305</v>
      </c>
      <c r="F254" t="inlineStr">
        <is>
          <t>VÄRMLANDS LÄN</t>
        </is>
      </c>
      <c r="G254" t="inlineStr">
        <is>
          <t>SÄFFLE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45420</v>
      </c>
      <c r="E255" s="1" t="n">
        <v>46305</v>
      </c>
      <c r="F255" t="inlineStr">
        <is>
          <t>VÄRMLANDS LÄN</t>
        </is>
      </c>
      <c r="G255" t="inlineStr">
        <is>
          <t>SÄFFLE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46305</v>
      </c>
      <c r="F256" t="inlineStr">
        <is>
          <t>VÄRMLANDS LÄN</t>
        </is>
      </c>
      <c r="G256" t="inlineStr">
        <is>
          <t>SÄFFLE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46305</v>
      </c>
      <c r="F257" t="inlineStr">
        <is>
          <t>VÄRMLANDS LÄN</t>
        </is>
      </c>
      <c r="G257" t="inlineStr">
        <is>
          <t>SÄFFLE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19385-2024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45428</v>
      </c>
      <c r="E258" s="1" t="n">
        <v>46305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46305</v>
      </c>
      <c r="F259" t="inlineStr">
        <is>
          <t>VÄRMLANDS LÄN</t>
        </is>
      </c>
      <c r="G259" t="inlineStr">
        <is>
          <t>SÄFFLE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46305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46305</v>
      </c>
      <c r="F261" t="inlineStr">
        <is>
          <t>VÄRMLANDS LÄN</t>
        </is>
      </c>
      <c r="G261" t="inlineStr">
        <is>
          <t>SÄFFLE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46305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46305</v>
      </c>
      <c r="F263" t="inlineStr">
        <is>
          <t>VÄRMLANDS LÄN</t>
        </is>
      </c>
      <c r="G263" t="inlineStr">
        <is>
          <t>SÄFFLE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45480-2024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45576</v>
      </c>
      <c r="E264" s="1" t="n">
        <v>46305</v>
      </c>
      <c r="F264" t="inlineStr">
        <is>
          <t>VÄRMLANDS LÄN</t>
        </is>
      </c>
      <c r="G264" t="inlineStr">
        <is>
          <t>SÄFFLE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46305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46305</v>
      </c>
      <c r="F266" t="inlineStr">
        <is>
          <t>VÄRMLANDS LÄN</t>
        </is>
      </c>
      <c r="G266" t="inlineStr">
        <is>
          <t>SÄFFLE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44564</v>
      </c>
      <c r="E267" s="1" t="n">
        <v>46305</v>
      </c>
      <c r="F267" t="inlineStr">
        <is>
          <t>VÄRMLANDS LÄN</t>
        </is>
      </c>
      <c r="G267" t="inlineStr">
        <is>
          <t>SÄFFLE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46305</v>
      </c>
      <c r="F268" t="inlineStr">
        <is>
          <t>VÄRMLANDS LÄN</t>
        </is>
      </c>
      <c r="G268" t="inlineStr">
        <is>
          <t>SÄFFLE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58067-2024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45631</v>
      </c>
      <c r="E269" s="1" t="n">
        <v>46305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46305</v>
      </c>
      <c r="F270" t="inlineStr">
        <is>
          <t>VÄRMLANDS LÄN</t>
        </is>
      </c>
      <c r="G270" t="inlineStr">
        <is>
          <t>SÄFFLE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19506-2023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45050</v>
      </c>
      <c r="E271" s="1" t="n">
        <v>46305</v>
      </c>
      <c r="F271" t="inlineStr">
        <is>
          <t>VÄRMLANDS LÄN</t>
        </is>
      </c>
      <c r="G271" t="inlineStr">
        <is>
          <t>SÄFFLE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19508-2023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45050</v>
      </c>
      <c r="E272" s="1" t="n">
        <v>46305</v>
      </c>
      <c r="F272" t="inlineStr">
        <is>
          <t>VÄRMLANDS LÄN</t>
        </is>
      </c>
      <c r="G272" t="inlineStr">
        <is>
          <t>SÄFFLE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46305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46305</v>
      </c>
      <c r="F274" t="inlineStr">
        <is>
          <t>VÄRMLANDS LÄN</t>
        </is>
      </c>
      <c r="G274" t="inlineStr">
        <is>
          <t>SÄFFLE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46305</v>
      </c>
      <c r="F275" t="inlineStr">
        <is>
          <t>VÄRMLANDS LÄN</t>
        </is>
      </c>
      <c r="G275" t="inlineStr">
        <is>
          <t>SÄFFLE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46305</v>
      </c>
      <c r="F276" t="inlineStr">
        <is>
          <t>VÄRMLANDS LÄN</t>
        </is>
      </c>
      <c r="G276" t="inlineStr">
        <is>
          <t>SÄFFLE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46305</v>
      </c>
      <c r="F277" t="inlineStr">
        <is>
          <t>VÄRMLANDS LÄN</t>
        </is>
      </c>
      <c r="G277" t="inlineStr">
        <is>
          <t>SÄFFLE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46305</v>
      </c>
      <c r="F278" t="inlineStr">
        <is>
          <t>VÄRMLANDS LÄN</t>
        </is>
      </c>
      <c r="G278" t="inlineStr">
        <is>
          <t>SÄFFLE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46305</v>
      </c>
      <c r="F279" t="inlineStr">
        <is>
          <t>VÄRMLANDS LÄN</t>
        </is>
      </c>
      <c r="G279" t="inlineStr">
        <is>
          <t>SÄFFLE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46305</v>
      </c>
      <c r="F280" t="inlineStr">
        <is>
          <t>VÄRMLANDS LÄN</t>
        </is>
      </c>
      <c r="G280" t="inlineStr">
        <is>
          <t>SÄFFLE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46305</v>
      </c>
      <c r="F281" t="inlineStr">
        <is>
          <t>VÄRMLANDS LÄN</t>
        </is>
      </c>
      <c r="G281" t="inlineStr">
        <is>
          <t>SÄFFLE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46305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46305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46305</v>
      </c>
      <c r="F284" t="inlineStr">
        <is>
          <t>VÄRMLANDS LÄN</t>
        </is>
      </c>
      <c r="G284" t="inlineStr">
        <is>
          <t>SÄFFLE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44876</v>
      </c>
      <c r="E285" s="1" t="n">
        <v>46305</v>
      </c>
      <c r="F285" t="inlineStr">
        <is>
          <t>VÄRMLANDS LÄN</t>
        </is>
      </c>
      <c r="G285" t="inlineStr">
        <is>
          <t>SÄFFLE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45380</v>
      </c>
      <c r="E286" s="1" t="n">
        <v>46305</v>
      </c>
      <c r="F286" t="inlineStr">
        <is>
          <t>VÄRMLANDS LÄN</t>
        </is>
      </c>
      <c r="G286" t="inlineStr">
        <is>
          <t>SÄFFLE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43209-2025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45910</v>
      </c>
      <c r="E287" s="1" t="n">
        <v>46305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45910</v>
      </c>
      <c r="E288" s="1" t="n">
        <v>46305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45527</v>
      </c>
      <c r="E289" s="1" t="n">
        <v>46305</v>
      </c>
      <c r="F289" t="inlineStr">
        <is>
          <t>VÄRMLANDS LÄN</t>
        </is>
      </c>
      <c r="G289" t="inlineStr">
        <is>
          <t>SÄFFLE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46305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45912</v>
      </c>
      <c r="E291" s="1" t="n">
        <v>46305</v>
      </c>
      <c r="F291" t="inlineStr">
        <is>
          <t>VÄRMLANDS LÄN</t>
        </is>
      </c>
      <c r="G291" t="inlineStr">
        <is>
          <t>SÄFFLE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46305</v>
      </c>
      <c r="F292" t="inlineStr">
        <is>
          <t>VÄRMLANDS LÄN</t>
        </is>
      </c>
      <c r="G292" t="inlineStr">
        <is>
          <t>SÄFFLE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45534</v>
      </c>
      <c r="E293" s="1" t="n">
        <v>46305</v>
      </c>
      <c r="F293" t="inlineStr">
        <is>
          <t>VÄRMLANDS LÄN</t>
        </is>
      </c>
      <c r="G293" t="inlineStr">
        <is>
          <t>SÄFFLE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45491</v>
      </c>
      <c r="E294" s="1" t="n">
        <v>46305</v>
      </c>
      <c r="F294" t="inlineStr">
        <is>
          <t>VÄRMLANDS LÄN</t>
        </is>
      </c>
      <c r="G294" t="inlineStr">
        <is>
          <t>SÄFFLE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46305</v>
      </c>
      <c r="F295" t="inlineStr">
        <is>
          <t>VÄRMLANDS LÄN</t>
        </is>
      </c>
      <c r="G295" t="inlineStr">
        <is>
          <t>SÄFFLE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46305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46305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46305</v>
      </c>
      <c r="F298" t="inlineStr">
        <is>
          <t>VÄRMLANDS LÄN</t>
        </is>
      </c>
      <c r="G298" t="inlineStr">
        <is>
          <t>SÄFFLE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45723</v>
      </c>
      <c r="E299" s="1" t="n">
        <v>46305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46305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45784</v>
      </c>
      <c r="E301" s="1" t="n">
        <v>46305</v>
      </c>
      <c r="F301" t="inlineStr">
        <is>
          <t>VÄRMLANDS LÄN</t>
        </is>
      </c>
      <c r="G301" t="inlineStr">
        <is>
          <t>SÄFFLE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10697-2024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46305</v>
      </c>
      <c r="F302" t="inlineStr">
        <is>
          <t>VÄRMLANDS LÄN</t>
        </is>
      </c>
      <c r="G302" t="inlineStr">
        <is>
          <t>SÄFFLE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45783</v>
      </c>
      <c r="E303" s="1" t="n">
        <v>46305</v>
      </c>
      <c r="F303" t="inlineStr">
        <is>
          <t>VÄRMLANDS LÄN</t>
        </is>
      </c>
      <c r="G303" t="inlineStr">
        <is>
          <t>SÄFFLE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46305</v>
      </c>
      <c r="F304" t="inlineStr">
        <is>
          <t>VÄRMLANDS LÄN</t>
        </is>
      </c>
      <c r="G304" t="inlineStr">
        <is>
          <t>SÄFFLE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46305</v>
      </c>
      <c r="F305" t="inlineStr">
        <is>
          <t>VÄRMLANDS LÄN</t>
        </is>
      </c>
      <c r="G305" t="inlineStr">
        <is>
          <t>SÄFFLE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46305</v>
      </c>
      <c r="F306" t="inlineStr">
        <is>
          <t>VÄRMLANDS LÄN</t>
        </is>
      </c>
      <c r="G306" t="inlineStr">
        <is>
          <t>SÄFFLE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46305</v>
      </c>
      <c r="F307" t="inlineStr">
        <is>
          <t>VÄRMLANDS LÄN</t>
        </is>
      </c>
      <c r="G307" t="inlineStr">
        <is>
          <t>SÄFFLE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46305</v>
      </c>
      <c r="F308" t="inlineStr">
        <is>
          <t>VÄRMLANDS LÄN</t>
        </is>
      </c>
      <c r="G308" t="inlineStr">
        <is>
          <t>SÄFFLE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45736</v>
      </c>
      <c r="E309" s="1" t="n">
        <v>46305</v>
      </c>
      <c r="F309" t="inlineStr">
        <is>
          <t>VÄRMLANDS LÄN</t>
        </is>
      </c>
      <c r="G309" t="inlineStr">
        <is>
          <t>SÄFFLE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45460</v>
      </c>
      <c r="E310" s="1" t="n">
        <v>46305</v>
      </c>
      <c r="F310" t="inlineStr">
        <is>
          <t>VÄRMLANDS LÄN</t>
        </is>
      </c>
      <c r="G310" t="inlineStr">
        <is>
          <t>SÄFFLE</t>
        </is>
      </c>
      <c r="I310" t="n">
        <v>49.7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44627</v>
      </c>
      <c r="E311" s="1" t="n">
        <v>46305</v>
      </c>
      <c r="F311" t="inlineStr">
        <is>
          <t>VÄRMLANDS LÄN</t>
        </is>
      </c>
      <c r="G311" t="inlineStr">
        <is>
          <t>SÄFFLE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46305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46305</v>
      </c>
      <c r="F313" t="inlineStr">
        <is>
          <t>VÄRMLANDS LÄN</t>
        </is>
      </c>
      <c r="G313" t="inlineStr">
        <is>
          <t>SÄFFLE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46305</v>
      </c>
      <c r="F314" t="inlineStr">
        <is>
          <t>VÄRMLANDS LÄN</t>
        </is>
      </c>
      <c r="G314" t="inlineStr">
        <is>
          <t>SÄFFLE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46305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46305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46305</v>
      </c>
      <c r="F317" t="inlineStr">
        <is>
          <t>VÄRMLANDS LÄN</t>
        </is>
      </c>
      <c r="G317" t="inlineStr">
        <is>
          <t>SÄFFLE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45790</v>
      </c>
      <c r="E318" s="1" t="n">
        <v>46305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46305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45790</v>
      </c>
      <c r="E320" s="1" t="n">
        <v>46305</v>
      </c>
      <c r="F320" t="inlineStr">
        <is>
          <t>VÄRMLANDS LÄN</t>
        </is>
      </c>
      <c r="G320" t="inlineStr">
        <is>
          <t>SÄFFLE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46305</v>
      </c>
      <c r="F321" t="inlineStr">
        <is>
          <t>VÄRMLANDS LÄN</t>
        </is>
      </c>
      <c r="G321" t="inlineStr">
        <is>
          <t>SÄFFLE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45534</v>
      </c>
      <c r="E322" s="1" t="n">
        <v>46305</v>
      </c>
      <c r="F322" t="inlineStr">
        <is>
          <t>VÄRMLANDS LÄN</t>
        </is>
      </c>
      <c r="G322" t="inlineStr">
        <is>
          <t>SÄFFLE</t>
        </is>
      </c>
      <c r="H322" t="inlineStr">
        <is>
          <t>Kyrkan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44881</v>
      </c>
      <c r="E323" s="1" t="n">
        <v>46305</v>
      </c>
      <c r="F323" t="inlineStr">
        <is>
          <t>VÄRMLANDS LÄN</t>
        </is>
      </c>
      <c r="G323" t="inlineStr">
        <is>
          <t>SÄFFLE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46305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44580</v>
      </c>
      <c r="E325" s="1" t="n">
        <v>46305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46305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23259-2022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44720</v>
      </c>
      <c r="E327" s="1" t="n">
        <v>46305</v>
      </c>
      <c r="F327" t="inlineStr">
        <is>
          <t>VÄRMLANDS LÄN</t>
        </is>
      </c>
      <c r="G327" t="inlineStr">
        <is>
          <t>SÄFFLE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46305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46305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46305</v>
      </c>
      <c r="F330" t="inlineStr">
        <is>
          <t>VÄRMLANDS LÄN</t>
        </is>
      </c>
      <c r="G330" t="inlineStr">
        <is>
          <t>SÄFFLE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46305</v>
      </c>
      <c r="F331" t="inlineStr">
        <is>
          <t>VÄRMLANDS LÄN</t>
        </is>
      </c>
      <c r="G331" t="inlineStr">
        <is>
          <t>SÄFFLE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46305</v>
      </c>
      <c r="F332" t="inlineStr">
        <is>
          <t>VÄRMLANDS LÄN</t>
        </is>
      </c>
      <c r="G332" t="inlineStr">
        <is>
          <t>SÄFFLE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46305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46305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46305</v>
      </c>
      <c r="F335" t="inlineStr">
        <is>
          <t>VÄRMLANDS LÄN</t>
        </is>
      </c>
      <c r="G335" t="inlineStr">
        <is>
          <t>SÄFFLE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46305</v>
      </c>
      <c r="F336" t="inlineStr">
        <is>
          <t>VÄRMLANDS LÄN</t>
        </is>
      </c>
      <c r="G336" t="inlineStr">
        <is>
          <t>SÄFFLE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46391-2025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45925</v>
      </c>
      <c r="E337" s="1" t="n">
        <v>46305</v>
      </c>
      <c r="F337" t="inlineStr">
        <is>
          <t>VÄRMLANDS LÄN</t>
        </is>
      </c>
      <c r="G337" t="inlineStr">
        <is>
          <t>SÄFFLE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46305</v>
      </c>
      <c r="F338" t="inlineStr">
        <is>
          <t>VÄRMLANDS LÄN</t>
        </is>
      </c>
      <c r="G338" t="inlineStr">
        <is>
          <t>SÄFFLE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46305</v>
      </c>
      <c r="F339" t="inlineStr">
        <is>
          <t>VÄRMLANDS LÄN</t>
        </is>
      </c>
      <c r="G339" t="inlineStr">
        <is>
          <t>SÄFFLE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46305</v>
      </c>
      <c r="F340" t="inlineStr">
        <is>
          <t>VÄRMLANDS LÄN</t>
        </is>
      </c>
      <c r="G340" t="inlineStr">
        <is>
          <t>SÄFFLE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46305</v>
      </c>
      <c r="F341" t="inlineStr">
        <is>
          <t>VÄRMLANDS LÄN</t>
        </is>
      </c>
      <c r="G341" t="inlineStr">
        <is>
          <t>SÄFFLE</t>
        </is>
      </c>
      <c r="H341" t="inlineStr">
        <is>
          <t>Bergvik skog väst AB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46305</v>
      </c>
      <c r="F342" t="inlineStr">
        <is>
          <t>VÄRMLANDS LÄN</t>
        </is>
      </c>
      <c r="G342" t="inlineStr">
        <is>
          <t>SÄFFLE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46305</v>
      </c>
      <c r="F343" t="inlineStr">
        <is>
          <t>VÄRMLANDS LÄN</t>
        </is>
      </c>
      <c r="G343" t="inlineStr">
        <is>
          <t>SÄFFLE</t>
        </is>
      </c>
      <c r="H343" t="inlineStr">
        <is>
          <t>Bergvik skog väst AB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46305</v>
      </c>
      <c r="F344" t="inlineStr">
        <is>
          <t>VÄRMLANDS LÄN</t>
        </is>
      </c>
      <c r="G344" t="inlineStr">
        <is>
          <t>SÄFFLE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73355-2021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46305</v>
      </c>
      <c r="F345" t="inlineStr">
        <is>
          <t>VÄRMLANDS LÄN</t>
        </is>
      </c>
      <c r="G345" t="inlineStr">
        <is>
          <t>SÄFFLE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46305</v>
      </c>
      <c r="F346" t="inlineStr">
        <is>
          <t>VÄRMLANDS LÄN</t>
        </is>
      </c>
      <c r="G346" t="inlineStr">
        <is>
          <t>SÄFFLE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46305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44574</v>
      </c>
      <c r="E348" s="1" t="n">
        <v>46305</v>
      </c>
      <c r="F348" t="inlineStr">
        <is>
          <t>VÄRMLANDS LÄN</t>
        </is>
      </c>
      <c r="G348" t="inlineStr">
        <is>
          <t>SÄFFLE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46305</v>
      </c>
      <c r="F349" t="inlineStr">
        <is>
          <t>VÄRMLANDS LÄN</t>
        </is>
      </c>
      <c r="G349" t="inlineStr">
        <is>
          <t>SÄFFLE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45439</v>
      </c>
      <c r="E350" s="1" t="n">
        <v>46305</v>
      </c>
      <c r="F350" t="inlineStr">
        <is>
          <t>VÄRMLANDS LÄN</t>
        </is>
      </c>
      <c r="G350" t="inlineStr">
        <is>
          <t>SÄFFLE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4093-2024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45323</v>
      </c>
      <c r="E351" s="1" t="n">
        <v>46305</v>
      </c>
      <c r="F351" t="inlineStr">
        <is>
          <t>VÄRMLANDS LÄN</t>
        </is>
      </c>
      <c r="G351" t="inlineStr">
        <is>
          <t>SÄFFLE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46305</v>
      </c>
      <c r="F352" t="inlineStr">
        <is>
          <t>VÄRMLANDS LÄN</t>
        </is>
      </c>
      <c r="G352" t="inlineStr">
        <is>
          <t>SÄFFLE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45564</v>
      </c>
      <c r="E353" s="1" t="n">
        <v>46305</v>
      </c>
      <c r="F353" t="inlineStr">
        <is>
          <t>VÄRMLANDS LÄN</t>
        </is>
      </c>
      <c r="G353" t="inlineStr">
        <is>
          <t>SÄFFLE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46305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46305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45625</v>
      </c>
      <c r="E356" s="1" t="n">
        <v>46305</v>
      </c>
      <c r="F356" t="inlineStr">
        <is>
          <t>VÄRMLANDS LÄN</t>
        </is>
      </c>
      <c r="G356" t="inlineStr">
        <is>
          <t>SÄFFLE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46305</v>
      </c>
      <c r="F357" t="inlineStr">
        <is>
          <t>VÄRMLANDS LÄN</t>
        </is>
      </c>
      <c r="G357" t="inlineStr">
        <is>
          <t>SÄFFLE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45506</v>
      </c>
      <c r="E358" s="1" t="n">
        <v>46305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46305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46305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44678</v>
      </c>
      <c r="E361" s="1" t="n">
        <v>46305</v>
      </c>
      <c r="F361" t="inlineStr">
        <is>
          <t>VÄRMLANDS LÄN</t>
        </is>
      </c>
      <c r="G361" t="inlineStr">
        <is>
          <t>SÄFFLE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46305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46305</v>
      </c>
      <c r="F363" t="inlineStr">
        <is>
          <t>VÄRMLANDS LÄN</t>
        </is>
      </c>
      <c r="G363" t="inlineStr">
        <is>
          <t>SÄFFLE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45146</v>
      </c>
      <c r="E364" s="1" t="n">
        <v>46305</v>
      </c>
      <c r="F364" t="inlineStr">
        <is>
          <t>VÄRMLANDS LÄN</t>
        </is>
      </c>
      <c r="G364" t="inlineStr">
        <is>
          <t>SÄFFLE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45711</v>
      </c>
      <c r="E365" s="1" t="n">
        <v>46305</v>
      </c>
      <c r="F365" t="inlineStr">
        <is>
          <t>VÄRMLANDS LÄN</t>
        </is>
      </c>
      <c r="G365" t="inlineStr">
        <is>
          <t>SÄFFLE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44587</v>
      </c>
      <c r="E366" s="1" t="n">
        <v>46305</v>
      </c>
      <c r="F366" t="inlineStr">
        <is>
          <t>VÄRMLANDS LÄN</t>
        </is>
      </c>
      <c r="G366" t="inlineStr">
        <is>
          <t>SÄFFLE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7410-2022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44606</v>
      </c>
      <c r="E367" s="1" t="n">
        <v>46305</v>
      </c>
      <c r="F367" t="inlineStr">
        <is>
          <t>VÄRMLANDS LÄN</t>
        </is>
      </c>
      <c r="G367" t="inlineStr">
        <is>
          <t>SÄFFLE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46305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45799</v>
      </c>
      <c r="E369" s="1" t="n">
        <v>46305</v>
      </c>
      <c r="F369" t="inlineStr">
        <is>
          <t>VÄRMLANDS LÄN</t>
        </is>
      </c>
      <c r="G369" t="inlineStr">
        <is>
          <t>SÄFFLE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46305</v>
      </c>
      <c r="F370" t="inlineStr">
        <is>
          <t>VÄRMLANDS LÄN</t>
        </is>
      </c>
      <c r="G370" t="inlineStr">
        <is>
          <t>SÄFFLE</t>
        </is>
      </c>
      <c r="I370" t="n">
        <v>16.1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46305</v>
      </c>
      <c r="F371" t="inlineStr">
        <is>
          <t>VÄRMLANDS LÄN</t>
        </is>
      </c>
      <c r="G371" t="inlineStr">
        <is>
          <t>SÄFFLE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44745</v>
      </c>
      <c r="E372" s="1" t="n">
        <v>46305</v>
      </c>
      <c r="F372" t="inlineStr">
        <is>
          <t>VÄRMLANDS LÄN</t>
        </is>
      </c>
      <c r="G372" t="inlineStr">
        <is>
          <t>SÄFFLE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45238</v>
      </c>
      <c r="E373" s="1" t="n">
        <v>46305</v>
      </c>
      <c r="F373" t="inlineStr">
        <is>
          <t>VÄRMLANDS LÄN</t>
        </is>
      </c>
      <c r="G373" t="inlineStr">
        <is>
          <t>SÄFFLE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46305</v>
      </c>
      <c r="F374" t="inlineStr">
        <is>
          <t>VÄRMLANDS LÄN</t>
        </is>
      </c>
      <c r="G374" t="inlineStr">
        <is>
          <t>SÄFFLE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46305</v>
      </c>
      <c r="F375" t="inlineStr">
        <is>
          <t>VÄRMLANDS LÄN</t>
        </is>
      </c>
      <c r="G375" t="inlineStr">
        <is>
          <t>SÄFFLE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45559</v>
      </c>
      <c r="E376" s="1" t="n">
        <v>46305</v>
      </c>
      <c r="F376" t="inlineStr">
        <is>
          <t>VÄRMLANDS LÄN</t>
        </is>
      </c>
      <c r="G376" t="inlineStr">
        <is>
          <t>SÄFFLE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45621</v>
      </c>
      <c r="E377" s="1" t="n">
        <v>46305</v>
      </c>
      <c r="F377" t="inlineStr">
        <is>
          <t>VÄRMLANDS LÄN</t>
        </is>
      </c>
      <c r="G377" t="inlineStr">
        <is>
          <t>SÄFFLE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46305</v>
      </c>
      <c r="F378" t="inlineStr">
        <is>
          <t>VÄRMLANDS LÄN</t>
        </is>
      </c>
      <c r="G378" t="inlineStr">
        <is>
          <t>SÄFFLE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45313</v>
      </c>
      <c r="E379" s="1" t="n">
        <v>46305</v>
      </c>
      <c r="F379" t="inlineStr">
        <is>
          <t>VÄRMLANDS LÄN</t>
        </is>
      </c>
      <c r="G379" t="inlineStr">
        <is>
          <t>SÄFFLE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46305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44679</v>
      </c>
      <c r="E381" s="1" t="n">
        <v>46305</v>
      </c>
      <c r="F381" t="inlineStr">
        <is>
          <t>VÄRMLANDS LÄN</t>
        </is>
      </c>
      <c r="G381" t="inlineStr">
        <is>
          <t>SÄFFLE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45520</v>
      </c>
      <c r="E382" s="1" t="n">
        <v>46305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46305</v>
      </c>
      <c r="F383" t="inlineStr">
        <is>
          <t>VÄRMLANDS LÄN</t>
        </is>
      </c>
      <c r="G383" t="inlineStr">
        <is>
          <t>SÄFFLE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46305</v>
      </c>
      <c r="F384" t="inlineStr">
        <is>
          <t>VÄRMLANDS LÄN</t>
        </is>
      </c>
      <c r="G384" t="inlineStr">
        <is>
          <t>SÄFFLE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46305</v>
      </c>
      <c r="F385" t="inlineStr">
        <is>
          <t>VÄRMLANDS LÄN</t>
        </is>
      </c>
      <c r="G385" t="inlineStr">
        <is>
          <t>SÄFFLE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46305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9252-2024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45358</v>
      </c>
      <c r="E387" s="1" t="n">
        <v>46305</v>
      </c>
      <c r="F387" t="inlineStr">
        <is>
          <t>VÄRMLANDS LÄN</t>
        </is>
      </c>
      <c r="G387" t="inlineStr">
        <is>
          <t>SÄFFLE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46305</v>
      </c>
      <c r="F388" t="inlineStr">
        <is>
          <t>VÄRMLANDS LÄN</t>
        </is>
      </c>
      <c r="G388" t="inlineStr">
        <is>
          <t>SÄFFLE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46305</v>
      </c>
      <c r="F389" t="inlineStr">
        <is>
          <t>VÄRMLANDS LÄN</t>
        </is>
      </c>
      <c r="G389" t="inlineStr">
        <is>
          <t>SÄFFLE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45503</v>
      </c>
      <c r="E390" s="1" t="n">
        <v>46305</v>
      </c>
      <c r="F390" t="inlineStr">
        <is>
          <t>VÄRMLANDS LÄN</t>
        </is>
      </c>
      <c r="G390" t="inlineStr">
        <is>
          <t>SÄFFLE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45615</v>
      </c>
      <c r="E391" s="1" t="n">
        <v>46305</v>
      </c>
      <c r="F391" t="inlineStr">
        <is>
          <t>VÄRMLANDS LÄN</t>
        </is>
      </c>
      <c r="G391" t="inlineStr">
        <is>
          <t>SÄFFLE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45630</v>
      </c>
      <c r="E392" s="1" t="n">
        <v>46305</v>
      </c>
      <c r="F392" t="inlineStr">
        <is>
          <t>VÄRMLANDS LÄN</t>
        </is>
      </c>
      <c r="G392" t="inlineStr">
        <is>
          <t>SÄFFLE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46305</v>
      </c>
      <c r="F393" t="inlineStr">
        <is>
          <t>VÄRMLANDS LÄN</t>
        </is>
      </c>
      <c r="G393" t="inlineStr">
        <is>
          <t>SÄFFLE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45807</v>
      </c>
      <c r="E394" s="1" t="n">
        <v>46305</v>
      </c>
      <c r="F394" t="inlineStr">
        <is>
          <t>VÄRMLANDS LÄN</t>
        </is>
      </c>
      <c r="G394" t="inlineStr">
        <is>
          <t>SÄFFLE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46305</v>
      </c>
      <c r="F395" t="inlineStr">
        <is>
          <t>VÄRMLANDS LÄN</t>
        </is>
      </c>
      <c r="G395" t="inlineStr">
        <is>
          <t>SÄFFLE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46305</v>
      </c>
      <c r="F396" t="inlineStr">
        <is>
          <t>VÄRMLANDS LÄN</t>
        </is>
      </c>
      <c r="G396" t="inlineStr">
        <is>
          <t>SÄFFLE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46305</v>
      </c>
      <c r="F397" t="inlineStr">
        <is>
          <t>VÄRMLANDS LÄN</t>
        </is>
      </c>
      <c r="G397" t="inlineStr">
        <is>
          <t>SÄFFLE</t>
        </is>
      </c>
      <c r="I397" t="n">
        <v>10.8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46305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44635</v>
      </c>
      <c r="E399" s="1" t="n">
        <v>46305</v>
      </c>
      <c r="F399" t="inlineStr">
        <is>
          <t>VÄRMLANDS LÄN</t>
        </is>
      </c>
      <c r="G399" t="inlineStr">
        <is>
          <t>SÄFFLE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46305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45068</v>
      </c>
      <c r="E401" s="1" t="n">
        <v>46305</v>
      </c>
      <c r="F401" t="inlineStr">
        <is>
          <t>VÄRMLANDS LÄN</t>
        </is>
      </c>
      <c r="G401" t="inlineStr">
        <is>
          <t>SÄFFLE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46305</v>
      </c>
      <c r="F402" t="inlineStr">
        <is>
          <t>VÄRMLANDS LÄN</t>
        </is>
      </c>
      <c r="G402" t="inlineStr">
        <is>
          <t>SÄFFLE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46305</v>
      </c>
      <c r="F403" t="inlineStr">
        <is>
          <t>VÄRMLANDS LÄN</t>
        </is>
      </c>
      <c r="G403" t="inlineStr">
        <is>
          <t>SÄFFLE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45138-2024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46305</v>
      </c>
      <c r="F404" t="inlineStr">
        <is>
          <t>VÄRMLANDS LÄN</t>
        </is>
      </c>
      <c r="G404" t="inlineStr">
        <is>
          <t>SÄFFLE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46305</v>
      </c>
      <c r="F405" t="inlineStr">
        <is>
          <t>VÄRMLANDS LÄN</t>
        </is>
      </c>
      <c r="G405" t="inlineStr">
        <is>
          <t>SÄFFLE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45771</v>
      </c>
      <c r="E406" s="1" t="n">
        <v>46305</v>
      </c>
      <c r="F406" t="inlineStr">
        <is>
          <t>VÄRMLANDS LÄN</t>
        </is>
      </c>
      <c r="G406" t="inlineStr">
        <is>
          <t>SÄFFLE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46305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46305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46305</v>
      </c>
      <c r="F409" t="inlineStr">
        <is>
          <t>VÄRMLANDS LÄN</t>
        </is>
      </c>
      <c r="G409" t="inlineStr">
        <is>
          <t>SÄFFLE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46305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46305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46305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46305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44663</v>
      </c>
      <c r="E414" s="1" t="n">
        <v>46305</v>
      </c>
      <c r="F414" t="inlineStr">
        <is>
          <t>VÄRMLANDS LÄN</t>
        </is>
      </c>
      <c r="G414" t="inlineStr">
        <is>
          <t>SÄFFLE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46305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46305</v>
      </c>
      <c r="F416" t="inlineStr">
        <is>
          <t>VÄRMLANDS LÄN</t>
        </is>
      </c>
      <c r="G416" t="inlineStr">
        <is>
          <t>SÄFFLE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28484-2025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46305</v>
      </c>
      <c r="F417" t="inlineStr">
        <is>
          <t>VÄRMLANDS LÄN</t>
        </is>
      </c>
      <c r="G417" t="inlineStr">
        <is>
          <t>SÄFFLE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45623</v>
      </c>
      <c r="E418" s="1" t="n">
        <v>46305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46305</v>
      </c>
      <c r="F419" t="inlineStr">
        <is>
          <t>VÄRMLANDS LÄN</t>
        </is>
      </c>
      <c r="G419" t="inlineStr">
        <is>
          <t>SÄFFLE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46305</v>
      </c>
      <c r="F420" t="inlineStr">
        <is>
          <t>VÄRMLANDS LÄN</t>
        </is>
      </c>
      <c r="G420" t="inlineStr">
        <is>
          <t>SÄFFLE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7361-2025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45704</v>
      </c>
      <c r="E421" s="1" t="n">
        <v>46305</v>
      </c>
      <c r="F421" t="inlineStr">
        <is>
          <t>VÄRMLANDS LÄN</t>
        </is>
      </c>
      <c r="G421" t="inlineStr">
        <is>
          <t>SÄFFLE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51269-2025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45949</v>
      </c>
      <c r="E422" s="1" t="n">
        <v>46305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45761</v>
      </c>
      <c r="E423" s="1" t="n">
        <v>46305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51388-2025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46305</v>
      </c>
      <c r="F424" t="inlineStr">
        <is>
          <t>VÄRMLANDS LÄN</t>
        </is>
      </c>
      <c r="G424" t="inlineStr">
        <is>
          <t>SÄFFLE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45237</v>
      </c>
      <c r="E425" s="1" t="n">
        <v>46305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46305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46305</v>
      </c>
      <c r="F427" t="inlineStr">
        <is>
          <t>VÄRMLANDS LÄN</t>
        </is>
      </c>
      <c r="G427" t="inlineStr">
        <is>
          <t>SÄFFLE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46305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46305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46305</v>
      </c>
      <c r="F430" t="inlineStr">
        <is>
          <t>VÄRMLANDS LÄN</t>
        </is>
      </c>
      <c r="G430" t="inlineStr">
        <is>
          <t>SÄFFLE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46305</v>
      </c>
      <c r="F431" t="inlineStr">
        <is>
          <t>VÄRMLANDS LÄN</t>
        </is>
      </c>
      <c r="G431" t="inlineStr">
        <is>
          <t>SÄFFLE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46305</v>
      </c>
      <c r="F432" t="inlineStr">
        <is>
          <t>VÄRMLANDS LÄN</t>
        </is>
      </c>
      <c r="G432" t="inlineStr">
        <is>
          <t>SÄFFLE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45567</v>
      </c>
      <c r="E433" s="1" t="n">
        <v>46305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45471</v>
      </c>
      <c r="E434" s="1" t="n">
        <v>46305</v>
      </c>
      <c r="F434" t="inlineStr">
        <is>
          <t>VÄRMLANDS LÄN</t>
        </is>
      </c>
      <c r="G434" t="inlineStr">
        <is>
          <t>SÄFFLE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46305</v>
      </c>
      <c r="F435" t="inlineStr">
        <is>
          <t>VÄRMLANDS LÄN</t>
        </is>
      </c>
      <c r="G435" t="inlineStr">
        <is>
          <t>SÄFFLE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30686-2022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44763</v>
      </c>
      <c r="E436" s="1" t="n">
        <v>46305</v>
      </c>
      <c r="F436" t="inlineStr">
        <is>
          <t>VÄRMLANDS LÄN</t>
        </is>
      </c>
      <c r="G436" t="inlineStr">
        <is>
          <t>SÄFFLE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46305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46305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46305</v>
      </c>
      <c r="F439" t="inlineStr">
        <is>
          <t>VÄRMLANDS LÄN</t>
        </is>
      </c>
      <c r="G439" t="inlineStr">
        <is>
          <t>SÄFFLE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46305</v>
      </c>
      <c r="F440" t="inlineStr">
        <is>
          <t>VÄRMLANDS LÄN</t>
        </is>
      </c>
      <c r="G440" t="inlineStr">
        <is>
          <t>SÄFFLE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31245-2025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45832</v>
      </c>
      <c r="E441" s="1" t="n">
        <v>46305</v>
      </c>
      <c r="F441" t="inlineStr">
        <is>
          <t>VÄRMLANDS LÄN</t>
        </is>
      </c>
      <c r="G441" t="inlineStr">
        <is>
          <t>SÄFFLE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46305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45171</v>
      </c>
      <c r="E443" s="1" t="n">
        <v>46305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46305</v>
      </c>
      <c r="F444" t="inlineStr">
        <is>
          <t>VÄRMLANDS LÄN</t>
        </is>
      </c>
      <c r="G444" t="inlineStr">
        <is>
          <t>SÄFFLE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46305</v>
      </c>
      <c r="F445" t="inlineStr">
        <is>
          <t>VÄRMLANDS LÄN</t>
        </is>
      </c>
      <c r="G445" t="inlineStr">
        <is>
          <t>SÄFFLE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45212</v>
      </c>
      <c r="E446" s="1" t="n">
        <v>46305</v>
      </c>
      <c r="F446" t="inlineStr">
        <is>
          <t>VÄRMLANDS LÄN</t>
        </is>
      </c>
      <c r="G446" t="inlineStr">
        <is>
          <t>SÄFFLE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44499-2023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45189</v>
      </c>
      <c r="E447" s="1" t="n">
        <v>46305</v>
      </c>
      <c r="F447" t="inlineStr">
        <is>
          <t>VÄRMLANDS LÄN</t>
        </is>
      </c>
      <c r="G447" t="inlineStr">
        <is>
          <t>SÄFFLE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44823</v>
      </c>
      <c r="E448" s="1" t="n">
        <v>46305</v>
      </c>
      <c r="F448" t="inlineStr">
        <is>
          <t>VÄRMLANDS LÄN</t>
        </is>
      </c>
      <c r="G448" t="inlineStr">
        <is>
          <t>SÄFFLE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53888-2025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45961</v>
      </c>
      <c r="E449" s="1" t="n">
        <v>46305</v>
      </c>
      <c r="F449" t="inlineStr">
        <is>
          <t>VÄRMLANDS LÄN</t>
        </is>
      </c>
      <c r="G449" t="inlineStr">
        <is>
          <t>SÄFFLE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46305</v>
      </c>
      <c r="F450" t="inlineStr">
        <is>
          <t>VÄRMLANDS LÄN</t>
        </is>
      </c>
      <c r="G450" t="inlineStr">
        <is>
          <t>SÄFFLE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44993</v>
      </c>
      <c r="E451" s="1" t="n">
        <v>46305</v>
      </c>
      <c r="F451" t="inlineStr">
        <is>
          <t>VÄRMLANDS LÄN</t>
        </is>
      </c>
      <c r="G451" t="inlineStr">
        <is>
          <t>SÄFFLE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46305</v>
      </c>
      <c r="F452" t="inlineStr">
        <is>
          <t>VÄRMLANDS LÄN</t>
        </is>
      </c>
      <c r="G452" t="inlineStr">
        <is>
          <t>SÄFFLE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46305</v>
      </c>
      <c r="F453" t="inlineStr">
        <is>
          <t>VÄRMLANDS LÄN</t>
        </is>
      </c>
      <c r="G453" t="inlineStr">
        <is>
          <t>SÄFFLE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46305</v>
      </c>
      <c r="F454" t="inlineStr">
        <is>
          <t>VÄRMLANDS LÄN</t>
        </is>
      </c>
      <c r="G454" t="inlineStr">
        <is>
          <t>SÄFFLE</t>
        </is>
      </c>
      <c r="H454" t="inlineStr">
        <is>
          <t>Kyrkan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46305</v>
      </c>
      <c r="F455" t="inlineStr">
        <is>
          <t>VÄRMLANDS LÄN</t>
        </is>
      </c>
      <c r="G455" t="inlineStr">
        <is>
          <t>SÄFFLE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45699</v>
      </c>
      <c r="E456" s="1" t="n">
        <v>46305</v>
      </c>
      <c r="F456" t="inlineStr">
        <is>
          <t>VÄRMLANDS LÄN</t>
        </is>
      </c>
      <c r="G456" t="inlineStr">
        <is>
          <t>SÄFFLE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46305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46305</v>
      </c>
      <c r="F458" t="inlineStr">
        <is>
          <t>VÄRMLANDS LÄN</t>
        </is>
      </c>
      <c r="G458" t="inlineStr">
        <is>
          <t>SÄFFLE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46305</v>
      </c>
      <c r="F459" t="inlineStr">
        <is>
          <t>VÄRMLANDS LÄN</t>
        </is>
      </c>
      <c r="G459" t="inlineStr">
        <is>
          <t>SÄFFLE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46305</v>
      </c>
      <c r="F460" t="inlineStr">
        <is>
          <t>VÄRMLANDS LÄN</t>
        </is>
      </c>
      <c r="G460" t="inlineStr">
        <is>
          <t>SÄFFLE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46305</v>
      </c>
      <c r="F461" t="inlineStr">
        <is>
          <t>VÄRMLANDS LÄN</t>
        </is>
      </c>
      <c r="G461" t="inlineStr">
        <is>
          <t>SÄFFLE</t>
        </is>
      </c>
      <c r="I461" t="n">
        <v>19.1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45517</v>
      </c>
      <c r="E462" s="1" t="n">
        <v>46305</v>
      </c>
      <c r="F462" t="inlineStr">
        <is>
          <t>VÄRMLANDS LÄN</t>
        </is>
      </c>
      <c r="G462" t="inlineStr">
        <is>
          <t>SÄFFLE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46305</v>
      </c>
      <c r="F463" t="inlineStr">
        <is>
          <t>VÄRMLANDS LÄN</t>
        </is>
      </c>
      <c r="G463" t="inlineStr">
        <is>
          <t>SÄFFLE</t>
        </is>
      </c>
      <c r="I463" t="n">
        <v>46.5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31247-2025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45832</v>
      </c>
      <c r="E464" s="1" t="n">
        <v>46305</v>
      </c>
      <c r="F464" t="inlineStr">
        <is>
          <t>VÄRMLANDS LÄN</t>
        </is>
      </c>
      <c r="G464" t="inlineStr">
        <is>
          <t>SÄFFLE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45358</v>
      </c>
      <c r="E465" s="1" t="n">
        <v>46305</v>
      </c>
      <c r="F465" t="inlineStr">
        <is>
          <t>VÄRMLANDS LÄN</t>
        </is>
      </c>
      <c r="G465" t="inlineStr">
        <is>
          <t>SÄFFLE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45847</v>
      </c>
      <c r="E466" s="1" t="n">
        <v>46305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45847</v>
      </c>
      <c r="E467" s="1" t="n">
        <v>46305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45278</v>
      </c>
      <c r="E468" s="1" t="n">
        <v>46305</v>
      </c>
      <c r="F468" t="inlineStr">
        <is>
          <t>VÄRMLANDS LÄN</t>
        </is>
      </c>
      <c r="G468" t="inlineStr">
        <is>
          <t>SÄFFLE</t>
        </is>
      </c>
      <c r="H468" t="inlineStr">
        <is>
          <t>Kommuner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46305</v>
      </c>
      <c r="F469" t="inlineStr">
        <is>
          <t>VÄRMLANDS LÄN</t>
        </is>
      </c>
      <c r="G469" t="inlineStr">
        <is>
          <t>SÄFFLE</t>
        </is>
      </c>
      <c r="H469" t="inlineStr">
        <is>
          <t>Kommuner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46305</v>
      </c>
      <c r="F470" t="inlineStr">
        <is>
          <t>VÄRMLANDS LÄN</t>
        </is>
      </c>
      <c r="G470" t="inlineStr">
        <is>
          <t>SÄFFLE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45295</v>
      </c>
      <c r="E471" s="1" t="n">
        <v>46305</v>
      </c>
      <c r="F471" t="inlineStr">
        <is>
          <t>VÄRMLANDS LÄN</t>
        </is>
      </c>
      <c r="G471" t="inlineStr">
        <is>
          <t>SÄFFLE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46305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45699</v>
      </c>
      <c r="E473" s="1" t="n">
        <v>46305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46305</v>
      </c>
      <c r="F474" t="inlineStr">
        <is>
          <t>VÄRMLANDS LÄN</t>
        </is>
      </c>
      <c r="G474" t="inlineStr">
        <is>
          <t>SÄFFLE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46305</v>
      </c>
      <c r="F475" t="inlineStr">
        <is>
          <t>VÄRMLANDS LÄN</t>
        </is>
      </c>
      <c r="G475" t="inlineStr">
        <is>
          <t>SÄFFLE</t>
        </is>
      </c>
      <c r="H475" t="inlineStr">
        <is>
          <t>Kommuner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46305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46305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46305</v>
      </c>
      <c r="F478" t="inlineStr">
        <is>
          <t>VÄRMLANDS LÄN</t>
        </is>
      </c>
      <c r="G478" t="inlineStr">
        <is>
          <t>SÄFFLE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46305</v>
      </c>
      <c r="F479" t="inlineStr">
        <is>
          <t>VÄRMLANDS LÄN</t>
        </is>
      </c>
      <c r="G479" t="inlineStr">
        <is>
          <t>SÄFFLE</t>
        </is>
      </c>
      <c r="I479" t="n">
        <v>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46305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46305</v>
      </c>
      <c r="F481" t="inlineStr">
        <is>
          <t>VÄRMLANDS LÄN</t>
        </is>
      </c>
      <c r="G481" t="inlineStr">
        <is>
          <t>SÄFFLE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46305</v>
      </c>
      <c r="F482" t="inlineStr">
        <is>
          <t>VÄRMLANDS LÄN</t>
        </is>
      </c>
      <c r="G482" t="inlineStr">
        <is>
          <t>SÄFFLE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47336-2022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44853</v>
      </c>
      <c r="E483" s="1" t="n">
        <v>46305</v>
      </c>
      <c r="F483" t="inlineStr">
        <is>
          <t>VÄRMLANDS LÄN</t>
        </is>
      </c>
      <c r="G483" t="inlineStr">
        <is>
          <t>SÄFFLE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46305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46305</v>
      </c>
      <c r="F485" t="inlineStr">
        <is>
          <t>VÄRMLANDS LÄN</t>
        </is>
      </c>
      <c r="G485" t="inlineStr">
        <is>
          <t>SÄFFLE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46305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57008-2025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45977</v>
      </c>
      <c r="E487" s="1" t="n">
        <v>46305</v>
      </c>
      <c r="F487" t="inlineStr">
        <is>
          <t>VÄRMLANDS LÄN</t>
        </is>
      </c>
      <c r="G487" t="inlineStr">
        <is>
          <t>SÄFFLE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46305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46305</v>
      </c>
      <c r="F489" t="inlineStr">
        <is>
          <t>VÄRMLANDS LÄN</t>
        </is>
      </c>
      <c r="G489" t="inlineStr">
        <is>
          <t>SÄFFLE</t>
        </is>
      </c>
      <c r="I489" t="n">
        <v>19.2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45692</v>
      </c>
      <c r="E490" s="1" t="n">
        <v>46305</v>
      </c>
      <c r="F490" t="inlineStr">
        <is>
          <t>VÄRMLANDS LÄN</t>
        </is>
      </c>
      <c r="G490" t="inlineStr">
        <is>
          <t>SÄFFLE</t>
        </is>
      </c>
      <c r="I490" t="n">
        <v>20.8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44564</v>
      </c>
      <c r="E491" s="1" t="n">
        <v>46305</v>
      </c>
      <c r="F491" t="inlineStr">
        <is>
          <t>VÄRMLANDS LÄN</t>
        </is>
      </c>
      <c r="G491" t="inlineStr">
        <is>
          <t>SÄFFLE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44988</v>
      </c>
      <c r="E492" s="1" t="n">
        <v>46305</v>
      </c>
      <c r="F492" t="inlineStr">
        <is>
          <t>VÄRMLANDS LÄN</t>
        </is>
      </c>
      <c r="G492" t="inlineStr">
        <is>
          <t>SÄFFLE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46305</v>
      </c>
      <c r="F493" t="inlineStr">
        <is>
          <t>VÄRMLANDS LÄN</t>
        </is>
      </c>
      <c r="G493" t="inlineStr">
        <is>
          <t>SÄFFLE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45975</v>
      </c>
      <c r="E494" s="1" t="n">
        <v>46305</v>
      </c>
      <c r="F494" t="inlineStr">
        <is>
          <t>VÄRMLANDS LÄN</t>
        </is>
      </c>
      <c r="G494" t="inlineStr">
        <is>
          <t>SÄFFLE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56684-2025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45975</v>
      </c>
      <c r="E495" s="1" t="n">
        <v>46305</v>
      </c>
      <c r="F495" t="inlineStr">
        <is>
          <t>VÄRMLANDS LÄN</t>
        </is>
      </c>
      <c r="G495" t="inlineStr">
        <is>
          <t>SÄFFLE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46305</v>
      </c>
      <c r="F496" t="inlineStr">
        <is>
          <t>VÄRMLANDS LÄN</t>
        </is>
      </c>
      <c r="G496" t="inlineStr">
        <is>
          <t>SÄFFLE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46305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45021</v>
      </c>
      <c r="E498" s="1" t="n">
        <v>46305</v>
      </c>
      <c r="F498" t="inlineStr">
        <is>
          <t>VÄRMLANDS LÄN</t>
        </is>
      </c>
      <c r="G498" t="inlineStr">
        <is>
          <t>SÄFFLE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45874</v>
      </c>
      <c r="E499" s="1" t="n">
        <v>46305</v>
      </c>
      <c r="F499" t="inlineStr">
        <is>
          <t>VÄRMLANDS LÄN</t>
        </is>
      </c>
      <c r="G499" t="inlineStr">
        <is>
          <t>SÄFFLE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45677</v>
      </c>
      <c r="E500" s="1" t="n">
        <v>46305</v>
      </c>
      <c r="F500" t="inlineStr">
        <is>
          <t>VÄRMLANDS LÄN</t>
        </is>
      </c>
      <c r="G500" t="inlineStr">
        <is>
          <t>SÄFFLE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45871</v>
      </c>
      <c r="E501" s="1" t="n">
        <v>46305</v>
      </c>
      <c r="F501" t="inlineStr">
        <is>
          <t>VÄRMLANDS LÄN</t>
        </is>
      </c>
      <c r="G501" t="inlineStr">
        <is>
          <t>SÄFFLE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46305</v>
      </c>
      <c r="F502" t="inlineStr">
        <is>
          <t>VÄRMLANDS LÄN</t>
        </is>
      </c>
      <c r="G502" t="inlineStr">
        <is>
          <t>SÄFFLE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46305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20322-2025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45775</v>
      </c>
      <c r="E504" s="1" t="n">
        <v>46305</v>
      </c>
      <c r="F504" t="inlineStr">
        <is>
          <t>VÄRMLANDS LÄN</t>
        </is>
      </c>
      <c r="G504" t="inlineStr">
        <is>
          <t>SÄFFLE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42067-2022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44830</v>
      </c>
      <c r="E505" s="1" t="n">
        <v>46305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45171</v>
      </c>
      <c r="E506" s="1" t="n">
        <v>46305</v>
      </c>
      <c r="F506" t="inlineStr">
        <is>
          <t>VÄRMLANDS LÄN</t>
        </is>
      </c>
      <c r="G506" t="inlineStr">
        <is>
          <t>SÄFFLE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45537</v>
      </c>
      <c r="E507" s="1" t="n">
        <v>46305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46305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45746</v>
      </c>
      <c r="E509" s="1" t="n">
        <v>46305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46305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46305</v>
      </c>
      <c r="F511" t="inlineStr">
        <is>
          <t>VÄRMLANDS LÄN</t>
        </is>
      </c>
      <c r="G511" t="inlineStr">
        <is>
          <t>SÄFFLE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45769</v>
      </c>
      <c r="E512" s="1" t="n">
        <v>46305</v>
      </c>
      <c r="F512" t="inlineStr">
        <is>
          <t>VÄRMLANDS LÄN</t>
        </is>
      </c>
      <c r="G512" t="inlineStr">
        <is>
          <t>SÄFFLE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44880</v>
      </c>
      <c r="E513" s="1" t="n">
        <v>46305</v>
      </c>
      <c r="F513" t="inlineStr">
        <is>
          <t>VÄRMLANDS LÄN</t>
        </is>
      </c>
      <c r="G513" t="inlineStr">
        <is>
          <t>SÄFFLE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46305</v>
      </c>
      <c r="F514" t="inlineStr">
        <is>
          <t>VÄRMLANDS LÄN</t>
        </is>
      </c>
      <c r="G514" t="inlineStr">
        <is>
          <t>SÄFFLE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44852</v>
      </c>
      <c r="E515" s="1" t="n">
        <v>46305</v>
      </c>
      <c r="F515" t="inlineStr">
        <is>
          <t>VÄRMLANDS LÄN</t>
        </is>
      </c>
      <c r="G515" t="inlineStr">
        <is>
          <t>SÄFFLE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45711</v>
      </c>
      <c r="E516" s="1" t="n">
        <v>46305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46305</v>
      </c>
      <c r="F517" t="inlineStr">
        <is>
          <t>VÄRMLANDS LÄN</t>
        </is>
      </c>
      <c r="G517" t="inlineStr">
        <is>
          <t>SÄFFLE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46305</v>
      </c>
      <c r="F518" t="inlineStr">
        <is>
          <t>VÄRMLANDS LÄN</t>
        </is>
      </c>
      <c r="G518" t="inlineStr">
        <is>
          <t>SÄFFLE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45676</v>
      </c>
      <c r="E519" s="1" t="n">
        <v>46305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45239</v>
      </c>
      <c r="E520" s="1" t="n">
        <v>46305</v>
      </c>
      <c r="F520" t="inlineStr">
        <is>
          <t>VÄRMLANDS LÄN</t>
        </is>
      </c>
      <c r="G520" t="inlineStr">
        <is>
          <t>SÄFFLE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52081-2022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44868</v>
      </c>
      <c r="E521" s="1" t="n">
        <v>46305</v>
      </c>
      <c r="F521" t="inlineStr">
        <is>
          <t>VÄRMLANDS LÄN</t>
        </is>
      </c>
      <c r="G521" t="inlineStr">
        <is>
          <t>SÄFFLE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30808-2024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45497</v>
      </c>
      <c r="E522" s="1" t="n">
        <v>46305</v>
      </c>
      <c r="F522" t="inlineStr">
        <is>
          <t>VÄRMLANDS LÄN</t>
        </is>
      </c>
      <c r="G522" t="inlineStr">
        <is>
          <t>SÄFFLE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64824-2023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46305</v>
      </c>
      <c r="F523" t="inlineStr">
        <is>
          <t>VÄRMLANDS LÄN</t>
        </is>
      </c>
      <c r="G523" t="inlineStr">
        <is>
          <t>SÄFFLE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45736</v>
      </c>
      <c r="E524" s="1" t="n">
        <v>46305</v>
      </c>
      <c r="F524" t="inlineStr">
        <is>
          <t>VÄRMLANDS LÄN</t>
        </is>
      </c>
      <c r="G524" t="inlineStr">
        <is>
          <t>SÄFFLE</t>
        </is>
      </c>
      <c r="I524" t="n">
        <v>10.7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11914-2025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45728</v>
      </c>
      <c r="E525" s="1" t="n">
        <v>46305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46305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46305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44538</v>
      </c>
      <c r="E528" s="1" t="n">
        <v>46305</v>
      </c>
      <c r="F528" t="inlineStr">
        <is>
          <t>VÄRMLANDS LÄN</t>
        </is>
      </c>
      <c r="G528" t="inlineStr">
        <is>
          <t>SÄFFLE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46305</v>
      </c>
      <c r="F529" t="inlineStr">
        <is>
          <t>VÄRMLANDS LÄN</t>
        </is>
      </c>
      <c r="G529" t="inlineStr">
        <is>
          <t>SÄFFLE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46305</v>
      </c>
      <c r="F530" t="inlineStr">
        <is>
          <t>VÄRMLANDS LÄN</t>
        </is>
      </c>
      <c r="G530" t="inlineStr">
        <is>
          <t>SÄFFLE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46305</v>
      </c>
      <c r="F531" t="inlineStr">
        <is>
          <t>VÄRMLANDS LÄN</t>
        </is>
      </c>
      <c r="G531" t="inlineStr">
        <is>
          <t>SÄFFLE</t>
        </is>
      </c>
      <c r="I531" t="n">
        <v>19.9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46305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46305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46305</v>
      </c>
      <c r="F534" t="inlineStr">
        <is>
          <t>VÄRMLANDS LÄN</t>
        </is>
      </c>
      <c r="G534" t="inlineStr">
        <is>
          <t>SÄFFLE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45301</v>
      </c>
      <c r="E535" s="1" t="n">
        <v>46305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10223-2025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45720</v>
      </c>
      <c r="E536" s="1" t="n">
        <v>46305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62550-2022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44924</v>
      </c>
      <c r="E537" s="1" t="n">
        <v>46305</v>
      </c>
      <c r="F537" t="inlineStr">
        <is>
          <t>VÄRMLANDS LÄN</t>
        </is>
      </c>
      <c r="G537" t="inlineStr">
        <is>
          <t>SÄFFLE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15234-2026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46105</v>
      </c>
      <c r="E538" s="1" t="n">
        <v>46305</v>
      </c>
      <c r="F538" t="inlineStr">
        <is>
          <t>VÄRMLANDS LÄN</t>
        </is>
      </c>
      <c r="G538" t="inlineStr">
        <is>
          <t>SÄFFLE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45728</v>
      </c>
      <c r="E539" s="1" t="n">
        <v>46305</v>
      </c>
      <c r="F539" t="inlineStr">
        <is>
          <t>VÄRMLANDS LÄN</t>
        </is>
      </c>
      <c r="G539" t="inlineStr">
        <is>
          <t>SÄFFLE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14994-2026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46104</v>
      </c>
      <c r="E540" s="1" t="n">
        <v>46305</v>
      </c>
      <c r="F540" t="inlineStr">
        <is>
          <t>VÄRMLANDS LÄN</t>
        </is>
      </c>
      <c r="G540" t="inlineStr">
        <is>
          <t>SÄFFLE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46305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45983</v>
      </c>
      <c r="E542" s="1" t="n">
        <v>46305</v>
      </c>
      <c r="F542" t="inlineStr">
        <is>
          <t>VÄRMLANDS LÄN</t>
        </is>
      </c>
      <c r="G542" t="inlineStr">
        <is>
          <t>SÄFFLE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44629</v>
      </c>
      <c r="E543" s="1" t="n">
        <v>46305</v>
      </c>
      <c r="F543" t="inlineStr">
        <is>
          <t>VÄRMLANDS LÄN</t>
        </is>
      </c>
      <c r="G543" t="inlineStr">
        <is>
          <t>SÄFFLE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45191</v>
      </c>
      <c r="E544" s="1" t="n">
        <v>46305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45082</v>
      </c>
      <c r="E545" s="1" t="n">
        <v>46305</v>
      </c>
      <c r="F545" t="inlineStr">
        <is>
          <t>VÄRMLANDS LÄN</t>
        </is>
      </c>
      <c r="G545" t="inlineStr">
        <is>
          <t>SÄFFLE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45611</v>
      </c>
      <c r="E546" s="1" t="n">
        <v>46305</v>
      </c>
      <c r="F546" t="inlineStr">
        <is>
          <t>VÄRMLANDS LÄN</t>
        </is>
      </c>
      <c r="G546" t="inlineStr">
        <is>
          <t>SÄFFLE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45249</v>
      </c>
      <c r="E547" s="1" t="n">
        <v>46305</v>
      </c>
      <c r="F547" t="inlineStr">
        <is>
          <t>VÄRMLANDS LÄN</t>
        </is>
      </c>
      <c r="G547" t="inlineStr">
        <is>
          <t>SÄFFLE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46305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46305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46305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46305</v>
      </c>
      <c r="F551" t="inlineStr">
        <is>
          <t>VÄRMLANDS LÄN</t>
        </is>
      </c>
      <c r="G551" t="inlineStr">
        <is>
          <t>SÄFFLE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45721</v>
      </c>
      <c r="E552" s="1" t="n">
        <v>46305</v>
      </c>
      <c r="F552" t="inlineStr">
        <is>
          <t>VÄRMLANDS LÄN</t>
        </is>
      </c>
      <c r="G552" t="inlineStr">
        <is>
          <t>SÄFFLE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45988</v>
      </c>
      <c r="E553" s="1" t="n">
        <v>46305</v>
      </c>
      <c r="F553" t="inlineStr">
        <is>
          <t>VÄRMLANDS LÄN</t>
        </is>
      </c>
      <c r="G553" t="inlineStr">
        <is>
          <t>SÄFFLE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46305</v>
      </c>
      <c r="F554" t="inlineStr">
        <is>
          <t>VÄRMLANDS LÄN</t>
        </is>
      </c>
      <c r="G554" t="inlineStr">
        <is>
          <t>SÄFFLE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46305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45621</v>
      </c>
      <c r="E556" s="1" t="n">
        <v>46305</v>
      </c>
      <c r="F556" t="inlineStr">
        <is>
          <t>VÄRMLANDS LÄN</t>
        </is>
      </c>
      <c r="G556" t="inlineStr">
        <is>
          <t>SÄFFLE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46305</v>
      </c>
      <c r="F557" t="inlineStr">
        <is>
          <t>VÄRMLANDS LÄN</t>
        </is>
      </c>
      <c r="G557" t="inlineStr">
        <is>
          <t>SÄFFLE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46305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46305</v>
      </c>
      <c r="F559" t="inlineStr">
        <is>
          <t>VÄRMLANDS LÄN</t>
        </is>
      </c>
      <c r="G559" t="inlineStr">
        <is>
          <t>SÄFFLE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46305</v>
      </c>
      <c r="F560" t="inlineStr">
        <is>
          <t>VÄRMLANDS LÄN</t>
        </is>
      </c>
      <c r="G560" t="inlineStr">
        <is>
          <t>SÄFFLE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46305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59194-2025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45988</v>
      </c>
      <c r="E562" s="1" t="n">
        <v>46305</v>
      </c>
      <c r="F562" t="inlineStr">
        <is>
          <t>VÄRMLANDS LÄN</t>
        </is>
      </c>
      <c r="G562" t="inlineStr">
        <is>
          <t>SÄFFLE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46305</v>
      </c>
      <c r="F563" t="inlineStr">
        <is>
          <t>VÄRMLANDS LÄN</t>
        </is>
      </c>
      <c r="G563" t="inlineStr">
        <is>
          <t>SÄFFLE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45989</v>
      </c>
      <c r="E564" s="1" t="n">
        <v>46305</v>
      </c>
      <c r="F564" t="inlineStr">
        <is>
          <t>VÄRMLANDS LÄN</t>
        </is>
      </c>
      <c r="G564" t="inlineStr">
        <is>
          <t>SÄFFLE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45989</v>
      </c>
      <c r="E565" s="1" t="n">
        <v>46305</v>
      </c>
      <c r="F565" t="inlineStr">
        <is>
          <t>VÄRMLANDS LÄN</t>
        </is>
      </c>
      <c r="G565" t="inlineStr">
        <is>
          <t>SÄFFLE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45989</v>
      </c>
      <c r="E566" s="1" t="n">
        <v>46305</v>
      </c>
      <c r="F566" t="inlineStr">
        <is>
          <t>VÄRMLANDS LÄN</t>
        </is>
      </c>
      <c r="G566" t="inlineStr">
        <is>
          <t>SÄFFLE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46305</v>
      </c>
      <c r="F567" t="inlineStr">
        <is>
          <t>VÄRMLANDS LÄN</t>
        </is>
      </c>
      <c r="G567" t="inlineStr">
        <is>
          <t>SÄFFLE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45226</v>
      </c>
      <c r="E568" s="1" t="n">
        <v>46305</v>
      </c>
      <c r="F568" t="inlineStr">
        <is>
          <t>VÄRMLANDS LÄN</t>
        </is>
      </c>
      <c r="G568" t="inlineStr">
        <is>
          <t>SÄFFLE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46305</v>
      </c>
      <c r="F569" t="inlineStr">
        <is>
          <t>VÄRMLANDS LÄN</t>
        </is>
      </c>
      <c r="G569" t="inlineStr">
        <is>
          <t>SÄFFLE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52174-2024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46305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46305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46305</v>
      </c>
      <c r="F572" t="inlineStr">
        <is>
          <t>VÄRMLANDS LÄN</t>
        </is>
      </c>
      <c r="G572" t="inlineStr">
        <is>
          <t>SÄFFLE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46305</v>
      </c>
      <c r="F573" t="inlineStr">
        <is>
          <t>VÄRMLANDS LÄN</t>
        </is>
      </c>
      <c r="G573" t="inlineStr">
        <is>
          <t>SÄFFLE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46119</v>
      </c>
      <c r="E574" s="1" t="n">
        <v>46305</v>
      </c>
      <c r="F574" t="inlineStr">
        <is>
          <t>VÄRMLANDS LÄN</t>
        </is>
      </c>
      <c r="G574" t="inlineStr">
        <is>
          <t>SÄFFLE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59944-2025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46305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46305</v>
      </c>
      <c r="F576" t="inlineStr">
        <is>
          <t>VÄRMLANDS LÄN</t>
        </is>
      </c>
      <c r="G576" t="inlineStr">
        <is>
          <t>SÄFFLE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46305</v>
      </c>
      <c r="F577" t="inlineStr">
        <is>
          <t>VÄRMLANDS LÄN</t>
        </is>
      </c>
      <c r="G577" t="inlineStr">
        <is>
          <t>SÄFFLE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60513-2025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45995</v>
      </c>
      <c r="E578" s="1" t="n">
        <v>46305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45450</v>
      </c>
      <c r="E579" s="1" t="n">
        <v>46305</v>
      </c>
      <c r="F579" t="inlineStr">
        <is>
          <t>VÄRMLANDS LÄN</t>
        </is>
      </c>
      <c r="G579" t="inlineStr">
        <is>
          <t>SÄFFLE</t>
        </is>
      </c>
      <c r="H579" t="inlineStr">
        <is>
          <t>Bergvik skog väst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18106-2023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45040</v>
      </c>
      <c r="E580" s="1" t="n">
        <v>46305</v>
      </c>
      <c r="F580" t="inlineStr">
        <is>
          <t>VÄRMLANDS LÄN</t>
        </is>
      </c>
      <c r="G580" t="inlineStr">
        <is>
          <t>SÄFFLE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40799-2022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44824</v>
      </c>
      <c r="E581" s="1" t="n">
        <v>46305</v>
      </c>
      <c r="F581" t="inlineStr">
        <is>
          <t>VÄRMLANDS LÄN</t>
        </is>
      </c>
      <c r="G581" t="inlineStr">
        <is>
          <t>SÄFFLE</t>
        </is>
      </c>
      <c r="I581" t="n">
        <v>11.4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43995-2024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45572</v>
      </c>
      <c r="E582" s="1" t="n">
        <v>46305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27985-2022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44745</v>
      </c>
      <c r="E583" s="1" t="n">
        <v>46305</v>
      </c>
      <c r="F583" t="inlineStr">
        <is>
          <t>VÄRMLANDS LÄN</t>
        </is>
      </c>
      <c r="G583" t="inlineStr">
        <is>
          <t>SÄFFLE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45271</v>
      </c>
      <c r="E584" s="1" t="n">
        <v>46305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44763</v>
      </c>
      <c r="E585" s="1" t="n">
        <v>46305</v>
      </c>
      <c r="F585" t="inlineStr">
        <is>
          <t>VÄRMLANDS LÄN</t>
        </is>
      </c>
      <c r="G585" t="inlineStr">
        <is>
          <t>SÄFFLE</t>
        </is>
      </c>
      <c r="H585" t="inlineStr">
        <is>
          <t>Kyrkan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46305</v>
      </c>
      <c r="F586" t="inlineStr">
        <is>
          <t>VÄRMLANDS LÄN</t>
        </is>
      </c>
      <c r="G586" t="inlineStr">
        <is>
          <t>SÄFFLE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17916-2024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45419</v>
      </c>
      <c r="E587" s="1" t="n">
        <v>46305</v>
      </c>
      <c r="F587" t="inlineStr">
        <is>
          <t>VÄRMLANDS LÄN</t>
        </is>
      </c>
      <c r="G587" t="inlineStr">
        <is>
          <t>SÄFFLE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46305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46305</v>
      </c>
      <c r="F589" t="inlineStr">
        <is>
          <t>VÄRMLANDS LÄN</t>
        </is>
      </c>
      <c r="G589" t="inlineStr">
        <is>
          <t>SÄFFLE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73662-2021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44552</v>
      </c>
      <c r="E590" s="1" t="n">
        <v>46305</v>
      </c>
      <c r="F590" t="inlineStr">
        <is>
          <t>VÄRMLANDS LÄN</t>
        </is>
      </c>
      <c r="G590" t="inlineStr">
        <is>
          <t>SÄFFLE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46305</v>
      </c>
      <c r="F591" t="inlineStr">
        <is>
          <t>VÄRMLANDS LÄN</t>
        </is>
      </c>
      <c r="G591" t="inlineStr">
        <is>
          <t>SÄFFLE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62119-2025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46006</v>
      </c>
      <c r="E592" s="1" t="n">
        <v>46305</v>
      </c>
      <c r="F592" t="inlineStr">
        <is>
          <t>VÄRMLANDS LÄN</t>
        </is>
      </c>
      <c r="G592" t="inlineStr">
        <is>
          <t>SÄFFLE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59322-2025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46305</v>
      </c>
      <c r="F593" t="inlineStr">
        <is>
          <t>VÄRMLANDS LÄN</t>
        </is>
      </c>
      <c r="G593" t="inlineStr">
        <is>
          <t>SÄFFLE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59471-2025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46305</v>
      </c>
      <c r="F594" t="inlineStr">
        <is>
          <t>VÄRMLANDS LÄN</t>
        </is>
      </c>
      <c r="G594" t="inlineStr">
        <is>
          <t>SÄFFLE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45063</v>
      </c>
      <c r="E595" s="1" t="n">
        <v>46305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46305</v>
      </c>
      <c r="F596" t="inlineStr">
        <is>
          <t>VÄRMLANDS LÄN</t>
        </is>
      </c>
      <c r="G596" t="inlineStr">
        <is>
          <t>SÄFFLE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15632-2024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45403</v>
      </c>
      <c r="E597" s="1" t="n">
        <v>46305</v>
      </c>
      <c r="F597" t="inlineStr">
        <is>
          <t>VÄRMLANDS LÄN</t>
        </is>
      </c>
      <c r="G597" t="inlineStr">
        <is>
          <t>SÄFFLE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47764-2025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45931</v>
      </c>
      <c r="E598" s="1" t="n">
        <v>46305</v>
      </c>
      <c r="F598" t="inlineStr">
        <is>
          <t>VÄRMLANDS LÄN</t>
        </is>
      </c>
      <c r="G598" t="inlineStr">
        <is>
          <t>SÄFFLE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46305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46305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45251</v>
      </c>
      <c r="E601" s="1" t="n">
        <v>46305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46305</v>
      </c>
      <c r="F602" t="inlineStr">
        <is>
          <t>VÄRMLANDS LÄN</t>
        </is>
      </c>
      <c r="G602" t="inlineStr">
        <is>
          <t>SÄFFLE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61677-2021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46305</v>
      </c>
      <c r="F603" t="inlineStr">
        <is>
          <t>VÄRMLANDS LÄN</t>
        </is>
      </c>
      <c r="G603" t="inlineStr">
        <is>
          <t>SÄFFLE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60073-2022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46305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37000-2025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45874</v>
      </c>
      <c r="E605" s="1" t="n">
        <v>46305</v>
      </c>
      <c r="F605" t="inlineStr">
        <is>
          <t>VÄRMLANDS LÄN</t>
        </is>
      </c>
      <c r="G605" t="inlineStr">
        <is>
          <t>SÄFFLE</t>
        </is>
      </c>
      <c r="I605" t="n">
        <v>15.2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46305</v>
      </c>
      <c r="F606" t="inlineStr">
        <is>
          <t>VÄRMLANDS LÄN</t>
        </is>
      </c>
      <c r="G606" t="inlineStr">
        <is>
          <t>SÄFFLE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46305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46305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45516</v>
      </c>
      <c r="E609" s="1" t="n">
        <v>46305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32751-2024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45516</v>
      </c>
      <c r="E610" s="1" t="n">
        <v>46305</v>
      </c>
      <c r="F610" t="inlineStr">
        <is>
          <t>VÄRMLANDS LÄN</t>
        </is>
      </c>
      <c r="G610" t="inlineStr">
        <is>
          <t>SÄFFLE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45481</v>
      </c>
      <c r="E611" s="1" t="n">
        <v>46305</v>
      </c>
      <c r="F611" t="inlineStr">
        <is>
          <t>VÄRMLANDS LÄN</t>
        </is>
      </c>
      <c r="G611" t="inlineStr">
        <is>
          <t>SÄFFLE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46305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44572</v>
      </c>
      <c r="E613" s="1" t="n">
        <v>46305</v>
      </c>
      <c r="F613" t="inlineStr">
        <is>
          <t>VÄRMLANDS LÄN</t>
        </is>
      </c>
      <c r="G613" t="inlineStr">
        <is>
          <t>SÄFFLE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54367-2022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44879</v>
      </c>
      <c r="E614" s="1" t="n">
        <v>46305</v>
      </c>
      <c r="F614" t="inlineStr">
        <is>
          <t>VÄRMLANDS LÄN</t>
        </is>
      </c>
      <c r="G614" t="inlineStr">
        <is>
          <t>SÄFFLE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67174-2021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44523</v>
      </c>
      <c r="E615" s="1" t="n">
        <v>46305</v>
      </c>
      <c r="F615" t="inlineStr">
        <is>
          <t>VÄRMLANDS LÄN</t>
        </is>
      </c>
      <c r="G615" t="inlineStr">
        <is>
          <t>SÄFFLE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31945-2022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44777</v>
      </c>
      <c r="E616" s="1" t="n">
        <v>46305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46305</v>
      </c>
      <c r="F617" t="inlineStr">
        <is>
          <t>VÄRMLANDS LÄN</t>
        </is>
      </c>
      <c r="G617" t="inlineStr">
        <is>
          <t>SÄFFLE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45425</v>
      </c>
      <c r="E618" s="1" t="n">
        <v>46305</v>
      </c>
      <c r="F618" t="inlineStr">
        <is>
          <t>VÄRMLANDS LÄN</t>
        </is>
      </c>
      <c r="G618" t="inlineStr">
        <is>
          <t>SÄFFLE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45012</v>
      </c>
      <c r="E619" s="1" t="n">
        <v>46305</v>
      </c>
      <c r="F619" t="inlineStr">
        <is>
          <t>VÄRMLANDS LÄN</t>
        </is>
      </c>
      <c r="G619" t="inlineStr">
        <is>
          <t>SÄFFLE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7360-2025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45704</v>
      </c>
      <c r="E620" s="1" t="n">
        <v>46305</v>
      </c>
      <c r="F620" t="inlineStr">
        <is>
          <t>VÄRMLANDS LÄN</t>
        </is>
      </c>
      <c r="G620" t="inlineStr">
        <is>
          <t>SÄFFLE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45807</v>
      </c>
      <c r="E621" s="1" t="n">
        <v>46305</v>
      </c>
      <c r="F621" t="inlineStr">
        <is>
          <t>VÄRMLANDS LÄN</t>
        </is>
      </c>
      <c r="G621" t="inlineStr">
        <is>
          <t>SÄFFLE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46305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58383-2021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44488</v>
      </c>
      <c r="E623" s="1" t="n">
        <v>46305</v>
      </c>
      <c r="F623" t="inlineStr">
        <is>
          <t>VÄRMLANDS LÄN</t>
        </is>
      </c>
      <c r="G623" t="inlineStr">
        <is>
          <t>SÄFFLE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13438-2024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45387</v>
      </c>
      <c r="E624" s="1" t="n">
        <v>46305</v>
      </c>
      <c r="F624" t="inlineStr">
        <is>
          <t>VÄRMLANDS LÄN</t>
        </is>
      </c>
      <c r="G624" t="inlineStr">
        <is>
          <t>SÄFFLE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48079-2025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45932</v>
      </c>
      <c r="E625" s="1" t="n">
        <v>46305</v>
      </c>
      <c r="F625" t="inlineStr">
        <is>
          <t>VÄRMLANDS LÄN</t>
        </is>
      </c>
      <c r="G625" t="inlineStr">
        <is>
          <t>SÄFFLE</t>
        </is>
      </c>
      <c r="H625" t="inlineStr">
        <is>
          <t>Kyrkan</t>
        </is>
      </c>
      <c r="I625" t="n">
        <v>12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60198-2022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44910</v>
      </c>
      <c r="E626" s="1" t="n">
        <v>46305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46305</v>
      </c>
      <c r="F627" t="inlineStr">
        <is>
          <t>VÄRMLANDS LÄN</t>
        </is>
      </c>
      <c r="G627" t="inlineStr">
        <is>
          <t>SÄFFLE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45820</v>
      </c>
      <c r="E628" s="1" t="n">
        <v>46305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46305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42586-2025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46305</v>
      </c>
      <c r="F630" t="inlineStr">
        <is>
          <t>VÄRMLANDS LÄN</t>
        </is>
      </c>
      <c r="G630" t="inlineStr">
        <is>
          <t>SÄFFLE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45779</v>
      </c>
      <c r="E631" s="1" t="n">
        <v>46305</v>
      </c>
      <c r="F631" t="inlineStr">
        <is>
          <t>VÄRMLANDS LÄN</t>
        </is>
      </c>
      <c r="G631" t="inlineStr">
        <is>
          <t>SÄFFLE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46305</v>
      </c>
      <c r="F632" t="inlineStr">
        <is>
          <t>VÄRMLANDS LÄN</t>
        </is>
      </c>
      <c r="G632" t="inlineStr">
        <is>
          <t>SÄFFLE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46305</v>
      </c>
      <c r="F633" t="inlineStr">
        <is>
          <t>VÄRMLANDS LÄN</t>
        </is>
      </c>
      <c r="G633" t="inlineStr">
        <is>
          <t>SÄFFLE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54781-2025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45966</v>
      </c>
      <c r="E634" s="1" t="n">
        <v>46305</v>
      </c>
      <c r="F634" t="inlineStr">
        <is>
          <t>VÄRMLANDS LÄN</t>
        </is>
      </c>
      <c r="G634" t="inlineStr">
        <is>
          <t>SÄFFLE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46305</v>
      </c>
      <c r="F635" t="inlineStr">
        <is>
          <t>VÄRMLANDS LÄN</t>
        </is>
      </c>
      <c r="G635" t="inlineStr">
        <is>
          <t>SÄFFLE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49979-2024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45597</v>
      </c>
      <c r="E636" s="1" t="n">
        <v>46305</v>
      </c>
      <c r="F636" t="inlineStr">
        <is>
          <t>VÄRMLANDS LÄN</t>
        </is>
      </c>
      <c r="G636" t="inlineStr">
        <is>
          <t>SÄFFLE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45922</v>
      </c>
      <c r="E637" s="1" t="n">
        <v>46305</v>
      </c>
      <c r="F637" t="inlineStr">
        <is>
          <t>VÄRMLANDS LÄN</t>
        </is>
      </c>
      <c r="G637" t="inlineStr">
        <is>
          <t>SÄFFLE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45880</v>
      </c>
      <c r="E638" s="1" t="n">
        <v>46305</v>
      </c>
      <c r="F638" t="inlineStr">
        <is>
          <t>VÄRMLANDS LÄN</t>
        </is>
      </c>
      <c r="G638" t="inlineStr">
        <is>
          <t>SÄFFLE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45685</v>
      </c>
      <c r="E639" s="1" t="n">
        <v>46305</v>
      </c>
      <c r="F639" t="inlineStr">
        <is>
          <t>VÄRMLANDS LÄN</t>
        </is>
      </c>
      <c r="G639" t="inlineStr">
        <is>
          <t>SÄFFLE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13274-2025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45735</v>
      </c>
      <c r="E640" s="1" t="n">
        <v>46305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46305</v>
      </c>
      <c r="F641" t="inlineStr">
        <is>
          <t>VÄRMLANDS LÄN</t>
        </is>
      </c>
      <c r="G641" t="inlineStr">
        <is>
          <t>SÄFFLE</t>
        </is>
      </c>
      <c r="I641" t="n">
        <v>5.8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45912</v>
      </c>
      <c r="E642" s="1" t="n">
        <v>46305</v>
      </c>
      <c r="F642" t="inlineStr">
        <is>
          <t>VÄRMLANDS LÄN</t>
        </is>
      </c>
      <c r="G642" t="inlineStr">
        <is>
          <t>SÄFFLE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20318-2026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46305</v>
      </c>
      <c r="F643" t="inlineStr">
        <is>
          <t>VÄRMLANDS LÄN</t>
        </is>
      </c>
      <c r="G643" t="inlineStr">
        <is>
          <t>SÄFFLE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45425</v>
      </c>
      <c r="E644" s="1" t="n">
        <v>46305</v>
      </c>
      <c r="F644" t="inlineStr">
        <is>
          <t>VÄRMLANDS LÄN</t>
        </is>
      </c>
      <c r="G644" t="inlineStr">
        <is>
          <t>SÄFFLE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46037</v>
      </c>
      <c r="E645" s="1" t="n">
        <v>46305</v>
      </c>
      <c r="F645" t="inlineStr">
        <is>
          <t>VÄRMLANDS LÄN</t>
        </is>
      </c>
      <c r="G645" t="inlineStr">
        <is>
          <t>SÄFFLE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43894-2024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45572</v>
      </c>
      <c r="E646" s="1" t="n">
        <v>46305</v>
      </c>
      <c r="F646" t="inlineStr">
        <is>
          <t>VÄRMLANDS LÄN</t>
        </is>
      </c>
      <c r="G646" t="inlineStr">
        <is>
          <t>SÄFFLE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46305</v>
      </c>
      <c r="F647" t="inlineStr">
        <is>
          <t>VÄRMLANDS LÄN</t>
        </is>
      </c>
      <c r="G647" t="inlineStr">
        <is>
          <t>SÄFFLE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46305</v>
      </c>
      <c r="F648" t="inlineStr">
        <is>
          <t>VÄRMLANDS LÄN</t>
        </is>
      </c>
      <c r="G648" t="inlineStr">
        <is>
          <t>SÄFFLE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7876-2022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44608</v>
      </c>
      <c r="E649" s="1" t="n">
        <v>46305</v>
      </c>
      <c r="F649" t="inlineStr">
        <is>
          <t>VÄRMLANDS LÄN</t>
        </is>
      </c>
      <c r="G649" t="inlineStr">
        <is>
          <t>SÄFFLE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46305</v>
      </c>
      <c r="F650" t="inlineStr">
        <is>
          <t>VÄRMLANDS LÄN</t>
        </is>
      </c>
      <c r="G650" t="inlineStr">
        <is>
          <t>SÄFFLE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46305</v>
      </c>
      <c r="F651" t="inlineStr">
        <is>
          <t>VÄRMLANDS LÄN</t>
        </is>
      </c>
      <c r="G651" t="inlineStr">
        <is>
          <t>SÄFFLE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44952</v>
      </c>
      <c r="E652" s="1" t="n">
        <v>46305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46305</v>
      </c>
      <c r="F653" t="inlineStr">
        <is>
          <t>VÄRMLANDS LÄN</t>
        </is>
      </c>
      <c r="G653" t="inlineStr">
        <is>
          <t>SÄFFLE</t>
        </is>
      </c>
      <c r="I653" t="n">
        <v>8.1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55274-2023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46305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40466-2024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45555</v>
      </c>
      <c r="E655" s="1" t="n">
        <v>46305</v>
      </c>
      <c r="F655" t="inlineStr">
        <is>
          <t>VÄRMLANDS LÄN</t>
        </is>
      </c>
      <c r="G655" t="inlineStr">
        <is>
          <t>SÄFFLE</t>
        </is>
      </c>
      <c r="I655" t="n">
        <v>17.3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58020-2024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45631</v>
      </c>
      <c r="E656" s="1" t="n">
        <v>46305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46305</v>
      </c>
      <c r="F657" t="inlineStr">
        <is>
          <t>VÄRMLANDS LÄN</t>
        </is>
      </c>
      <c r="G657" t="inlineStr">
        <is>
          <t>SÄFFLE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46305</v>
      </c>
      <c r="F658" t="inlineStr">
        <is>
          <t>VÄRMLANDS LÄN</t>
        </is>
      </c>
      <c r="G658" t="inlineStr">
        <is>
          <t>SÄFFLE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19952-2024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45433</v>
      </c>
      <c r="E659" s="1" t="n">
        <v>46305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46305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46305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45471</v>
      </c>
      <c r="E662" s="1" t="n">
        <v>46305</v>
      </c>
      <c r="F662" t="inlineStr">
        <is>
          <t>VÄRMLANDS LÄN</t>
        </is>
      </c>
      <c r="G662" t="inlineStr">
        <is>
          <t>SÄFFLE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45832</v>
      </c>
      <c r="E663" s="1" t="n">
        <v>46305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46046</v>
      </c>
      <c r="E664" s="1" t="n">
        <v>46305</v>
      </c>
      <c r="F664" t="inlineStr">
        <is>
          <t>VÄRMLANDS LÄN</t>
        </is>
      </c>
      <c r="G664" t="inlineStr">
        <is>
          <t>SÄFFLE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46305</v>
      </c>
      <c r="F665" t="inlineStr">
        <is>
          <t>VÄRMLANDS LÄN</t>
        </is>
      </c>
      <c r="G665" t="inlineStr">
        <is>
          <t>SÄFFLE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40540-2025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45896</v>
      </c>
      <c r="E666" s="1" t="n">
        <v>46305</v>
      </c>
      <c r="F666" t="inlineStr">
        <is>
          <t>VÄRMLANDS LÄN</t>
        </is>
      </c>
      <c r="G666" t="inlineStr">
        <is>
          <t>SÄFFLE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46046</v>
      </c>
      <c r="E667" s="1" t="n">
        <v>46305</v>
      </c>
      <c r="F667" t="inlineStr">
        <is>
          <t>VÄRMLANDS LÄN</t>
        </is>
      </c>
      <c r="G667" t="inlineStr">
        <is>
          <t>SÄFFLE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46305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46305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57089-2023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45245</v>
      </c>
      <c r="E670" s="1" t="n">
        <v>46305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46305</v>
      </c>
      <c r="F671" t="inlineStr">
        <is>
          <t>VÄRMLANDS LÄN</t>
        </is>
      </c>
      <c r="G671" t="inlineStr">
        <is>
          <t>SÄFFLE</t>
        </is>
      </c>
      <c r="I671" t="n">
        <v>11.4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46139</v>
      </c>
      <c r="E672" s="1" t="n">
        <v>46305</v>
      </c>
      <c r="F672" t="inlineStr">
        <is>
          <t>VÄRMLANDS LÄN</t>
        </is>
      </c>
      <c r="G672" t="inlineStr">
        <is>
          <t>SÄFFLE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14436-2024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46305</v>
      </c>
      <c r="F673" t="inlineStr">
        <is>
          <t>VÄRMLANDS LÄN</t>
        </is>
      </c>
      <c r="G673" t="inlineStr">
        <is>
          <t>SÄFFLE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45847</v>
      </c>
      <c r="E674" s="1" t="n">
        <v>46305</v>
      </c>
      <c r="F674" t="inlineStr">
        <is>
          <t>VÄRMLANDS LÄN</t>
        </is>
      </c>
      <c r="G674" t="inlineStr">
        <is>
          <t>SÄFFLE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4286-2026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46045</v>
      </c>
      <c r="E675" s="1" t="n">
        <v>46305</v>
      </c>
      <c r="F675" t="inlineStr">
        <is>
          <t>VÄRMLANDS LÄN</t>
        </is>
      </c>
      <c r="G675" t="inlineStr">
        <is>
          <t>SÄFFLE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46045</v>
      </c>
      <c r="E676" s="1" t="n">
        <v>46305</v>
      </c>
      <c r="F676" t="inlineStr">
        <is>
          <t>VÄRMLANDS LÄN</t>
        </is>
      </c>
      <c r="G676" t="inlineStr">
        <is>
          <t>SÄFFLE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46305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45714</v>
      </c>
      <c r="E678" s="1" t="n">
        <v>46305</v>
      </c>
      <c r="F678" t="inlineStr">
        <is>
          <t>VÄRMLANDS LÄN</t>
        </is>
      </c>
      <c r="G678" t="inlineStr">
        <is>
          <t>SÄFFLE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59203-2023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46305</v>
      </c>
      <c r="F679" t="inlineStr">
        <is>
          <t>VÄRMLANDS LÄN</t>
        </is>
      </c>
      <c r="G679" t="inlineStr">
        <is>
          <t>SÄFFLE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45735</v>
      </c>
      <c r="E680" s="1" t="n">
        <v>46305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46305</v>
      </c>
      <c r="F681" t="inlineStr">
        <is>
          <t>VÄRMLANDS LÄN</t>
        </is>
      </c>
      <c r="G681" t="inlineStr">
        <is>
          <t>SÄFFLE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46305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46305</v>
      </c>
      <c r="F683" t="inlineStr">
        <is>
          <t>VÄRMLANDS LÄN</t>
        </is>
      </c>
      <c r="G683" t="inlineStr">
        <is>
          <t>SÄFFLE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45595</v>
      </c>
      <c r="E684" s="1" t="n">
        <v>46305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46305</v>
      </c>
      <c r="F685" t="inlineStr">
        <is>
          <t>VÄRMLANDS LÄN</t>
        </is>
      </c>
      <c r="G685" t="inlineStr">
        <is>
          <t>SÄFFLE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46142</v>
      </c>
      <c r="E686" s="1" t="n">
        <v>46305</v>
      </c>
      <c r="F686" t="inlineStr">
        <is>
          <t>VÄRMLANDS LÄN</t>
        </is>
      </c>
      <c r="G686" t="inlineStr">
        <is>
          <t>SÄFFLE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45280</v>
      </c>
      <c r="E687" s="1" t="n">
        <v>46305</v>
      </c>
      <c r="F687" t="inlineStr">
        <is>
          <t>VÄRMLANDS LÄN</t>
        </is>
      </c>
      <c r="G687" t="inlineStr">
        <is>
          <t>SÄFFLE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46305</v>
      </c>
      <c r="F688" t="inlineStr">
        <is>
          <t>VÄRMLANDS LÄN</t>
        </is>
      </c>
      <c r="G688" t="inlineStr">
        <is>
          <t>SÄFFLE</t>
        </is>
      </c>
      <c r="I688" t="n">
        <v>8.4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8422-2026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46305</v>
      </c>
      <c r="F689" t="inlineStr">
        <is>
          <t>VÄRMLANDS LÄN</t>
        </is>
      </c>
      <c r="G689" t="inlineStr">
        <is>
          <t>SÄFFLE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46305</v>
      </c>
      <c r="F690" t="inlineStr">
        <is>
          <t>VÄRMLANDS LÄN</t>
        </is>
      </c>
      <c r="G690" t="inlineStr">
        <is>
          <t>SÄFFLE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46305</v>
      </c>
      <c r="F691" t="inlineStr">
        <is>
          <t>VÄRMLANDS LÄN</t>
        </is>
      </c>
      <c r="G691" t="inlineStr">
        <is>
          <t>SÄFFLE</t>
        </is>
      </c>
      <c r="I691" t="n">
        <v>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46305</v>
      </c>
      <c r="F692" t="inlineStr">
        <is>
          <t>VÄRMLANDS LÄN</t>
        </is>
      </c>
      <c r="G692" t="inlineStr">
        <is>
          <t>SÄFFLE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46305</v>
      </c>
      <c r="F693" t="inlineStr">
        <is>
          <t>VÄRMLANDS LÄN</t>
        </is>
      </c>
      <c r="G693" t="inlineStr">
        <is>
          <t>SÄFFLE</t>
        </is>
      </c>
      <c r="I693" t="n">
        <v>12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12482-2024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45379</v>
      </c>
      <c r="E694" s="1" t="n">
        <v>46305</v>
      </c>
      <c r="F694" t="inlineStr">
        <is>
          <t>VÄRMLANDS LÄN</t>
        </is>
      </c>
      <c r="G694" t="inlineStr">
        <is>
          <t>SÄFFLE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46079</v>
      </c>
      <c r="E695" s="1" t="n">
        <v>46305</v>
      </c>
      <c r="F695" t="inlineStr">
        <is>
          <t>VÄRMLANDS LÄN</t>
        </is>
      </c>
      <c r="G695" t="inlineStr">
        <is>
          <t>SÄFFLE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46079</v>
      </c>
      <c r="E696" s="1" t="n">
        <v>46305</v>
      </c>
      <c r="F696" t="inlineStr">
        <is>
          <t>VÄRMLANDS LÄN</t>
        </is>
      </c>
      <c r="G696" t="inlineStr">
        <is>
          <t>SÄFFLE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46305</v>
      </c>
      <c r="F697" t="inlineStr">
        <is>
          <t>VÄRMLANDS LÄN</t>
        </is>
      </c>
      <c r="G697" t="inlineStr">
        <is>
          <t>SÄFFLE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46305</v>
      </c>
      <c r="F698" t="inlineStr">
        <is>
          <t>VÄRMLANDS LÄN</t>
        </is>
      </c>
      <c r="G698" t="inlineStr">
        <is>
          <t>SÄFFLE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22393-2026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46305</v>
      </c>
      <c r="F699" t="inlineStr">
        <is>
          <t>VÄRMLANDS LÄN</t>
        </is>
      </c>
      <c r="G699" t="inlineStr">
        <is>
          <t>SÄFFLE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46083</v>
      </c>
      <c r="E700" s="1" t="n">
        <v>46305</v>
      </c>
      <c r="F700" t="inlineStr">
        <is>
          <t>VÄRMLANDS LÄN</t>
        </is>
      </c>
      <c r="G700" t="inlineStr">
        <is>
          <t>SÄFFLE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11499-2026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46083</v>
      </c>
      <c r="E701" s="1" t="n">
        <v>46305</v>
      </c>
      <c r="F701" t="inlineStr">
        <is>
          <t>VÄRMLANDS LÄN</t>
        </is>
      </c>
      <c r="G701" t="inlineStr">
        <is>
          <t>SÄFFLE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46305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46305</v>
      </c>
      <c r="F703" t="inlineStr">
        <is>
          <t>VÄRMLANDS LÄN</t>
        </is>
      </c>
      <c r="G703" t="inlineStr">
        <is>
          <t>SÄFFLE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46305</v>
      </c>
      <c r="F704" t="inlineStr">
        <is>
          <t>VÄRMLANDS LÄN</t>
        </is>
      </c>
      <c r="G704" t="inlineStr">
        <is>
          <t>SÄFFLE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46305</v>
      </c>
      <c r="F705" t="inlineStr">
        <is>
          <t>VÄRMLANDS LÄN</t>
        </is>
      </c>
      <c r="G705" t="inlineStr">
        <is>
          <t>SÄFFLE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22591-2026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46305</v>
      </c>
      <c r="F706" t="inlineStr">
        <is>
          <t>VÄRMLANDS LÄN</t>
        </is>
      </c>
      <c r="G706" t="inlineStr">
        <is>
          <t>SÄFFLE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32386-2025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45837</v>
      </c>
      <c r="E707" s="1" t="n">
        <v>46305</v>
      </c>
      <c r="F707" t="inlineStr">
        <is>
          <t>VÄRMLANDS LÄN</t>
        </is>
      </c>
      <c r="G707" t="inlineStr">
        <is>
          <t>SÄFFLE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46087</v>
      </c>
      <c r="E708" s="1" t="n">
        <v>46305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46087</v>
      </c>
      <c r="E709" s="1" t="n">
        <v>46305</v>
      </c>
      <c r="F709" t="inlineStr">
        <is>
          <t>VÄRMLANDS LÄN</t>
        </is>
      </c>
      <c r="G709" t="inlineStr">
        <is>
          <t>SÄFFLE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46305</v>
      </c>
      <c r="F710" t="inlineStr">
        <is>
          <t>VÄRMLANDS LÄN</t>
        </is>
      </c>
      <c r="G710" t="inlineStr">
        <is>
          <t>SÄFFLE</t>
        </is>
      </c>
      <c r="I710" t="n">
        <v>12.7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46305</v>
      </c>
      <c r="F711" t="inlineStr">
        <is>
          <t>VÄRMLANDS LÄN</t>
        </is>
      </c>
      <c r="G711" t="inlineStr">
        <is>
          <t>SÄFFLE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12187-2026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46086</v>
      </c>
      <c r="E712" s="1" t="n">
        <v>46305</v>
      </c>
      <c r="F712" t="inlineStr">
        <is>
          <t>VÄRMLANDS LÄN</t>
        </is>
      </c>
      <c r="G712" t="inlineStr">
        <is>
          <t>SÄFFLE</t>
        </is>
      </c>
      <c r="I712" t="n">
        <v>9.1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59355-2025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45989</v>
      </c>
      <c r="E713" s="1" t="n">
        <v>46305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46305</v>
      </c>
      <c r="F714" t="inlineStr">
        <is>
          <t>VÄRMLANDS LÄN</t>
        </is>
      </c>
      <c r="G714" t="inlineStr">
        <is>
          <t>SÄFFLE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45890</v>
      </c>
      <c r="E715" s="1" t="n">
        <v>46305</v>
      </c>
      <c r="F715" t="inlineStr">
        <is>
          <t>VÄRMLANDS LÄN</t>
        </is>
      </c>
      <c r="G715" t="inlineStr">
        <is>
          <t>SÄFFLE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46305</v>
      </c>
      <c r="F716" t="inlineStr">
        <is>
          <t>VÄRMLANDS LÄN</t>
        </is>
      </c>
      <c r="G716" t="inlineStr">
        <is>
          <t>SÄFFLE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45542</v>
      </c>
      <c r="E717" s="1" t="n">
        <v>46305</v>
      </c>
      <c r="F717" t="inlineStr">
        <is>
          <t>VÄRMLANDS LÄN</t>
        </is>
      </c>
      <c r="G717" t="inlineStr">
        <is>
          <t>SÄFFLE</t>
        </is>
      </c>
      <c r="I717" t="n">
        <v>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46305</v>
      </c>
      <c r="F718" t="inlineStr">
        <is>
          <t>VÄRMLANDS LÄN</t>
        </is>
      </c>
      <c r="G718" t="inlineStr">
        <is>
          <t>SÄFFLE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46305</v>
      </c>
      <c r="F719" t="inlineStr">
        <is>
          <t>VÄRMLANDS LÄN</t>
        </is>
      </c>
      <c r="G719" t="inlineStr">
        <is>
          <t>SÄFFLE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46090</v>
      </c>
      <c r="E720" s="1" t="n">
        <v>46305</v>
      </c>
      <c r="F720" t="inlineStr">
        <is>
          <t>VÄRMLANDS LÄN</t>
        </is>
      </c>
      <c r="G720" t="inlineStr">
        <is>
          <t>SÄFFLE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13127-2026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46093</v>
      </c>
      <c r="E721" s="1" t="n">
        <v>46305</v>
      </c>
      <c r="F721" t="inlineStr">
        <is>
          <t>VÄRMLANDS LÄN</t>
        </is>
      </c>
      <c r="G721" t="inlineStr">
        <is>
          <t>SÄFFLE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46305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13051-2026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46305</v>
      </c>
      <c r="F723" t="inlineStr">
        <is>
          <t>VÄRMLANDS LÄN</t>
        </is>
      </c>
      <c r="G723" t="inlineStr">
        <is>
          <t>SÄFFLE</t>
        </is>
      </c>
      <c r="I723" t="n">
        <v>11.2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46305</v>
      </c>
      <c r="F724" t="inlineStr">
        <is>
          <t>VÄRMLANDS LÄN</t>
        </is>
      </c>
      <c r="G724" t="inlineStr">
        <is>
          <t>SÄFFLE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47808-2025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45931</v>
      </c>
      <c r="E725" s="1" t="n">
        <v>46305</v>
      </c>
      <c r="F725" t="inlineStr">
        <is>
          <t>VÄRMLANDS LÄN</t>
        </is>
      </c>
      <c r="G725" t="inlineStr">
        <is>
          <t>SÄFFLE</t>
        </is>
      </c>
      <c r="H725" t="inlineStr">
        <is>
          <t>Kyrkan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46164</v>
      </c>
      <c r="E726" s="1" t="n">
        <v>46305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45805</v>
      </c>
      <c r="E727" s="1" t="n">
        <v>46305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46164</v>
      </c>
      <c r="E728" s="1" t="n">
        <v>46305</v>
      </c>
      <c r="F728" t="inlineStr">
        <is>
          <t>VÄRMLANDS LÄN</t>
        </is>
      </c>
      <c r="G728" t="inlineStr">
        <is>
          <t>SÄFFLE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46167</v>
      </c>
      <c r="E729" s="1" t="n">
        <v>46305</v>
      </c>
      <c r="F729" t="inlineStr">
        <is>
          <t>VÄRMLANDS LÄN</t>
        </is>
      </c>
      <c r="G729" t="inlineStr">
        <is>
          <t>SÄFFLE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46305</v>
      </c>
      <c r="F730" t="inlineStr">
        <is>
          <t>VÄRMLANDS LÄN</t>
        </is>
      </c>
      <c r="G730" t="inlineStr">
        <is>
          <t>SÄFFLE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46305</v>
      </c>
      <c r="F731" t="inlineStr">
        <is>
          <t>VÄRMLANDS LÄN</t>
        </is>
      </c>
      <c r="G731" t="inlineStr">
        <is>
          <t>SÄFFLE</t>
        </is>
      </c>
      <c r="H731" t="inlineStr">
        <is>
          <t>Kommuner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46305</v>
      </c>
      <c r="F732" t="inlineStr">
        <is>
          <t>VÄRMLANDS LÄN</t>
        </is>
      </c>
      <c r="G732" t="inlineStr">
        <is>
          <t>SÄFFLE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46305</v>
      </c>
      <c r="F733" t="inlineStr">
        <is>
          <t>VÄRMLANDS LÄN</t>
        </is>
      </c>
      <c r="G733" t="inlineStr">
        <is>
          <t>SÄFFLE</t>
        </is>
      </c>
      <c r="H733" t="inlineStr">
        <is>
          <t>Kommuner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46170</v>
      </c>
      <c r="E734" s="1" t="n">
        <v>46305</v>
      </c>
      <c r="F734" t="inlineStr">
        <is>
          <t>VÄRMLANDS LÄN</t>
        </is>
      </c>
      <c r="G734" t="inlineStr">
        <is>
          <t>SÄFFLE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46305</v>
      </c>
      <c r="F735" t="inlineStr">
        <is>
          <t>VÄRMLANDS LÄN</t>
        </is>
      </c>
      <c r="G735" t="inlineStr">
        <is>
          <t>SÄFFLE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46175</v>
      </c>
      <c r="E736" s="1" t="n">
        <v>46305</v>
      </c>
      <c r="F736" t="inlineStr">
        <is>
          <t>VÄRMLANDS LÄN</t>
        </is>
      </c>
      <c r="G736" t="inlineStr">
        <is>
          <t>SÄFFLE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46305</v>
      </c>
      <c r="F737" t="inlineStr">
        <is>
          <t>VÄRMLANDS LÄN</t>
        </is>
      </c>
      <c r="G737" t="inlineStr">
        <is>
          <t>SÄFFLE</t>
        </is>
      </c>
      <c r="H737" t="inlineStr">
        <is>
          <t>Kommuner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46305</v>
      </c>
      <c r="F738" t="inlineStr">
        <is>
          <t>VÄRMLANDS LÄN</t>
        </is>
      </c>
      <c r="G738" t="inlineStr">
        <is>
          <t>SÄFFLE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46305</v>
      </c>
      <c r="F739" t="inlineStr">
        <is>
          <t>VÄRMLANDS LÄN</t>
        </is>
      </c>
      <c r="G739" t="inlineStr">
        <is>
          <t>SÄFFLE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26200-2026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46182</v>
      </c>
      <c r="E740" s="1" t="n">
        <v>46305</v>
      </c>
      <c r="F740" t="inlineStr">
        <is>
          <t>VÄRMLANDS LÄN</t>
        </is>
      </c>
      <c r="G740" t="inlineStr">
        <is>
          <t>SÄFFLE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46305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63858-2021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44509</v>
      </c>
      <c r="E742" s="1" t="n">
        <v>46305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28951-2026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46191</v>
      </c>
      <c r="E743" s="1" t="n">
        <v>46305</v>
      </c>
      <c r="F743" t="inlineStr">
        <is>
          <t>VÄRMLANDS LÄN</t>
        </is>
      </c>
      <c r="G743" t="inlineStr">
        <is>
          <t>SÄFFLE</t>
        </is>
      </c>
      <c r="I743" t="n">
        <v>10.6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46305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46305</v>
      </c>
      <c r="F745" t="inlineStr">
        <is>
          <t>VÄRMLANDS LÄN</t>
        </is>
      </c>
      <c r="G745" t="inlineStr">
        <is>
          <t>SÄFFLE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46305</v>
      </c>
      <c r="F746" t="inlineStr">
        <is>
          <t>VÄRMLANDS LÄN</t>
        </is>
      </c>
      <c r="G746" t="inlineStr">
        <is>
          <t>SÄFFLE</t>
        </is>
      </c>
      <c r="I746" t="n">
        <v>14.3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46305</v>
      </c>
      <c r="F747" t="inlineStr">
        <is>
          <t>VÄRMLANDS LÄN</t>
        </is>
      </c>
      <c r="G747" t="inlineStr">
        <is>
          <t>SÄFFLE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46305</v>
      </c>
      <c r="F748" t="inlineStr">
        <is>
          <t>VÄRMLANDS LÄN</t>
        </is>
      </c>
      <c r="G748" t="inlineStr">
        <is>
          <t>SÄFFLE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46305</v>
      </c>
      <c r="F749" t="inlineStr">
        <is>
          <t>VÄRMLANDS LÄN</t>
        </is>
      </c>
      <c r="G749" t="inlineStr">
        <is>
          <t>SÄFFLE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15210-2026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46105</v>
      </c>
      <c r="E750" s="1" t="n">
        <v>46305</v>
      </c>
      <c r="F750" t="inlineStr">
        <is>
          <t>VÄRMLANDS LÄN</t>
        </is>
      </c>
      <c r="G750" t="inlineStr">
        <is>
          <t>SÄFFLE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30450-2026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46305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46305</v>
      </c>
      <c r="F752" t="inlineStr">
        <is>
          <t>VÄRMLANDS LÄN</t>
        </is>
      </c>
      <c r="G752" t="inlineStr">
        <is>
          <t>SÄFFLE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46305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46266</v>
      </c>
      <c r="E754" s="1" t="n">
        <v>46305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35984-2026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46266</v>
      </c>
      <c r="E755" s="1" t="n">
        <v>46305</v>
      </c>
      <c r="F755" t="inlineStr">
        <is>
          <t>VÄRMLANDS LÄN</t>
        </is>
      </c>
      <c r="G755" t="inlineStr">
        <is>
          <t>SÄFFLE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46266</v>
      </c>
      <c r="E756" s="1" t="n">
        <v>46305</v>
      </c>
      <c r="F756" t="inlineStr">
        <is>
          <t>VÄRMLANDS LÄN</t>
        </is>
      </c>
      <c r="G756" t="inlineStr">
        <is>
          <t>SÄFFLE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46305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46269</v>
      </c>
      <c r="E758" s="1" t="n">
        <v>46305</v>
      </c>
      <c r="F758" t="inlineStr">
        <is>
          <t>VÄRMLANDS LÄN</t>
        </is>
      </c>
      <c r="G758" t="inlineStr">
        <is>
          <t>SÄFFLE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36972-2026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46273</v>
      </c>
      <c r="E759" s="1" t="n">
        <v>46305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36966-2026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46273</v>
      </c>
      <c r="E760" s="1" t="n">
        <v>46305</v>
      </c>
      <c r="F760" t="inlineStr">
        <is>
          <t>VÄRMLANDS LÄN</t>
        </is>
      </c>
      <c r="G760" t="inlineStr">
        <is>
          <t>SÄFFLE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46305</v>
      </c>
      <c r="F761" t="inlineStr">
        <is>
          <t>VÄRMLANDS LÄN</t>
        </is>
      </c>
      <c r="G761" t="inlineStr">
        <is>
          <t>SÄFFLE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46305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31935-2026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46232</v>
      </c>
      <c r="E763" s="1" t="n">
        <v>46305</v>
      </c>
      <c r="F763" t="inlineStr">
        <is>
          <t>VÄRMLANDS LÄN</t>
        </is>
      </c>
      <c r="G763" t="inlineStr">
        <is>
          <t>SÄFFLE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31937-2026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46232</v>
      </c>
      <c r="E764" s="1" t="n">
        <v>46305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46305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46279</v>
      </c>
      <c r="E766" s="1" t="n">
        <v>46305</v>
      </c>
      <c r="F766" t="inlineStr">
        <is>
          <t>VÄRMLANDS LÄN</t>
        </is>
      </c>
      <c r="G766" t="inlineStr">
        <is>
          <t>SÄFFLE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46237</v>
      </c>
      <c r="E767" s="1" t="n">
        <v>46305</v>
      </c>
      <c r="F767" t="inlineStr">
        <is>
          <t>VÄRMLANDS LÄN</t>
        </is>
      </c>
      <c r="G767" t="inlineStr">
        <is>
          <t>SÄFFLE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46305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46305</v>
      </c>
      <c r="F769" t="inlineStr">
        <is>
          <t>VÄRMLANDS LÄN</t>
        </is>
      </c>
      <c r="G769" t="inlineStr">
        <is>
          <t>SÄFFLE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46305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46305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46305</v>
      </c>
      <c r="F772" t="inlineStr">
        <is>
          <t>VÄRMLANDS LÄN</t>
        </is>
      </c>
      <c r="G772" t="inlineStr">
        <is>
          <t>SÄFFLE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46305</v>
      </c>
      <c r="F773" t="inlineStr">
        <is>
          <t>VÄRMLANDS LÄN</t>
        </is>
      </c>
      <c r="G773" t="inlineStr">
        <is>
          <t>SÄFFLE</t>
        </is>
      </c>
      <c r="I773" t="n">
        <v>16.2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38256-2026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46281</v>
      </c>
      <c r="E774" s="1" t="n">
        <v>46305</v>
      </c>
      <c r="F774" t="inlineStr">
        <is>
          <t>VÄRMLANDS LÄN</t>
        </is>
      </c>
      <c r="G774" t="inlineStr">
        <is>
          <t>SÄFFLE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38116-2026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46305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38652-2026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46283</v>
      </c>
      <c r="E776" s="1" t="n">
        <v>46305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46305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38572-2026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46283</v>
      </c>
      <c r="E778" s="1" t="n">
        <v>46305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46287</v>
      </c>
      <c r="E779" s="1" t="n">
        <v>46305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38992-2026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46287</v>
      </c>
      <c r="E780" s="1" t="n">
        <v>46305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45910</v>
      </c>
      <c r="E781" s="1" t="n">
        <v>46305</v>
      </c>
      <c r="F781" t="inlineStr">
        <is>
          <t>VÄRMLANDS LÄN</t>
        </is>
      </c>
      <c r="G781" t="inlineStr">
        <is>
          <t>SÄFFLE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40363-2025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46305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46288</v>
      </c>
      <c r="E783" s="1" t="n">
        <v>46305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26.6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59429-2025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45989</v>
      </c>
      <c r="E784" s="1" t="n">
        <v>46305</v>
      </c>
      <c r="F784" t="inlineStr">
        <is>
          <t>VÄRMLANDS LÄN</t>
        </is>
      </c>
      <c r="G784" t="inlineStr">
        <is>
          <t>SÄFFLE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40487-2022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44819</v>
      </c>
      <c r="E785" s="1" t="n">
        <v>46305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45341</v>
      </c>
      <c r="E786" s="1" t="n">
        <v>46305</v>
      </c>
      <c r="F786" t="inlineStr">
        <is>
          <t>VÄRMLANDS LÄN</t>
        </is>
      </c>
      <c r="G786" t="inlineStr">
        <is>
          <t>SÄFFLE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39726-2026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46289</v>
      </c>
      <c r="E787" s="1" t="n">
        <v>46305</v>
      </c>
      <c r="F787" t="inlineStr">
        <is>
          <t>VÄRMLANDS LÄN</t>
        </is>
      </c>
      <c r="G787" t="inlineStr">
        <is>
          <t>SÄFFLE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46305</v>
      </c>
      <c r="F788" t="inlineStr">
        <is>
          <t>VÄRMLANDS LÄN</t>
        </is>
      </c>
      <c r="G788" t="inlineStr">
        <is>
          <t>SÄFFLE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46305</v>
      </c>
      <c r="F789" t="inlineStr">
        <is>
          <t>VÄRMLANDS LÄN</t>
        </is>
      </c>
      <c r="G789" t="inlineStr">
        <is>
          <t>SÄFFLE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46305</v>
      </c>
      <c r="F790" t="inlineStr">
        <is>
          <t>VÄRMLANDS LÄN</t>
        </is>
      </c>
      <c r="G790" t="inlineStr">
        <is>
          <t>SÄFFLE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46305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46305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46305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34251-2026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46253</v>
      </c>
      <c r="E794" s="1" t="n">
        <v>46305</v>
      </c>
      <c r="F794" t="inlineStr">
        <is>
          <t>VÄRMLANDS LÄN</t>
        </is>
      </c>
      <c r="G794" t="inlineStr">
        <is>
          <t>SÄFFLE</t>
        </is>
      </c>
      <c r="I794" t="n">
        <v>39.3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46305</v>
      </c>
      <c r="F795" t="inlineStr">
        <is>
          <t>VÄRMLANDS LÄN</t>
        </is>
      </c>
      <c r="G795" t="inlineStr">
        <is>
          <t>SÄFFLE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40460-2026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46305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46305</v>
      </c>
      <c r="F797" t="inlineStr">
        <is>
          <t>VÄRMLANDS LÄN</t>
        </is>
      </c>
      <c r="G797" t="inlineStr">
        <is>
          <t>SÄFFLE</t>
        </is>
      </c>
      <c r="H797" t="inlineStr">
        <is>
          <t>Kyrkan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46305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46305</v>
      </c>
      <c r="F799" t="inlineStr">
        <is>
          <t>VÄRMLANDS LÄN</t>
        </is>
      </c>
      <c r="G799" t="inlineStr">
        <is>
          <t>SÄFFLE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46305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46305</v>
      </c>
      <c r="F801" t="inlineStr">
        <is>
          <t>VÄRMLANDS LÄN</t>
        </is>
      </c>
      <c r="G801" t="inlineStr">
        <is>
          <t>SÄFFLE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46305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46304</v>
      </c>
      <c r="E803" s="1" t="n">
        <v>46305</v>
      </c>
      <c r="F803" t="inlineStr">
        <is>
          <t>VÄRMLANDS LÄN</t>
        </is>
      </c>
      <c r="G803" t="inlineStr">
        <is>
          <t>SÄFFLE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46305</v>
      </c>
      <c r="F804" t="inlineStr">
        <is>
          <t>VÄRMLANDS LÄN</t>
        </is>
      </c>
      <c r="G804" t="inlineStr">
        <is>
          <t>SÄFFLE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46305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287-2022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46305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296-2022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46305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10147-2021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46305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46305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7134-2022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46305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10208-2021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46305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7130-2022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46305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10205-2021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46305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600-2024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45351</v>
      </c>
      <c r="E814" s="1" t="n">
        <v>46305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51.1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7133-2022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46305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25.3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66-2024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45299</v>
      </c>
      <c r="E816" s="1" t="n">
        <v>46305</v>
      </c>
      <c r="F816" t="inlineStr">
        <is>
          <t>VÄRMLANDS LÄN</t>
        </is>
      </c>
      <c r="G816" t="inlineStr">
        <is>
          <t>SÄFFLE</t>
        </is>
      </c>
      <c r="I816" t="n">
        <v>101.3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46305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601-2024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46305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10202-2021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46305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46305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46305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46305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46305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46305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46305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2026-10-10T02:01:47Z</dcterms:created>
  <dcterms:modified xmlns:dcterms="http://purl.org/dc/terms/" xmlns:xsi="http://www.w3.org/2001/XMLSchema-instance" xsi:type="dcterms:W3CDTF">2026-10-10T02:01:48Z</dcterms:modified>
</cp:coreProperties>
</file>