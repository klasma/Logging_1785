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46316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46316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46316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46316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46316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46316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46316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46316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31395-2026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46220</v>
      </c>
      <c r="E14" s="1" t="n">
        <v>46316</v>
      </c>
      <c r="F14" t="inlineStr">
        <is>
          <t>VÄRMLANDS LÄN</t>
        </is>
      </c>
      <c r="G14" t="inlineStr">
        <is>
          <t>SÄFFLE</t>
        </is>
      </c>
      <c r="I14" t="n">
        <v>3.8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Skogsklocka
Fläcknycklar</t>
        </is>
      </c>
      <c r="W14">
        <f>HYPERLINK("https://klasma.github.io/Logging_1785/artfynd/A 31395-2026 artfynd.xlsx", "A 31395-2026")</f>
        <v/>
      </c>
      <c r="X14">
        <f>HYPERLINK("https://klasma.github.io/Logging_1785/kartor/A 31395-2026 karta.png", "A 31395-2026")</f>
        <v/>
      </c>
      <c r="Y14">
        <f>HYPERLINK("https://klasma.github.io/Logging_1785/kartor_geotiff/A 31395-2026 georefererad karta.tif", "A 31395-2026")</f>
        <v/>
      </c>
      <c r="AA14">
        <f>HYPERLINK("https://klasma.github.io/Logging_1785/klagomål/A 31395-2026 FSC-klagomål.docx", "A 31395-2026")</f>
        <v/>
      </c>
      <c r="AB14">
        <f>HYPERLINK("https://klasma.github.io/Logging_1785/klagomålsmail/A 31395-2026 FSC-klagomål mail.docx", "A 31395-2026")</f>
        <v/>
      </c>
      <c r="AC14">
        <f>HYPERLINK("https://klasma.github.io/Logging_1785/tillsyn/A 31395-2026 tillsynsbegäran.docx", "A 31395-2026")</f>
        <v/>
      </c>
      <c r="AD14">
        <f>HYPERLINK("https://klasma.github.io/Logging_1785/tillsynsmail/A 31395-2026 tillsynsbegäran mail.docx", "A 31395-2026")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46316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46316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46316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46316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46316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46316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46316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14738-2024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46316</v>
      </c>
      <c r="F22" t="inlineStr">
        <is>
          <t>VÄRMLANDS LÄN</t>
        </is>
      </c>
      <c r="G22" t="inlineStr">
        <is>
          <t>SÄFFLE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HYPERLINK("https://klasma.github.io/Logging_1785/artfynd/A 14738-2024 artfynd.xlsx", "A 14738-2024")</f>
        <v/>
      </c>
      <c r="X22">
        <f>HYPERLINK("https://klasma.github.io/Logging_1785/kartor/A 14738-2024 karta.png", "A 14738-2024")</f>
        <v/>
      </c>
      <c r="Y22">
        <f>HYPERLINK("https://klasma.github.io/Logging_1785/kartor_geotiff/A 14738-2024 georefererad karta.tif", "A 14738-2024")</f>
        <v/>
      </c>
      <c r="AA22">
        <f>HYPERLINK("https://klasma.github.io/Logging_1785/klagomål/A 14738-2024 FSC-klagomål.docx", "A 14738-2024")</f>
        <v/>
      </c>
      <c r="AB22">
        <f>HYPERLINK("https://klasma.github.io/Logging_1785/klagomålsmail/A 14738-2024 FSC-klagomål mail.docx", "A 14738-2024")</f>
        <v/>
      </c>
      <c r="AC22">
        <f>HYPERLINK("https://klasma.github.io/Logging_1785/tillsyn/A 14738-2024 tillsynsbegäran.docx", "A 14738-2024")</f>
        <v/>
      </c>
      <c r="AD22">
        <f>HYPERLINK("https://klasma.github.io/Logging_1785/tillsynsmail/A 14738-2024 tillsynsbegäran mail.docx", "A 14738-2024")</f>
        <v/>
      </c>
    </row>
    <row r="23" ht="15" customHeight="1">
      <c r="A23" t="inlineStr">
        <is>
          <t>A 60965-2024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46316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HYPERLINK("https://klasma.github.io/Logging_1785/artfynd/A 60965-2024 artfynd.xlsx", "A 60965-2024")</f>
        <v/>
      </c>
      <c r="X23">
        <f>HYPERLINK("https://klasma.github.io/Logging_1785/kartor/A 60965-2024 karta.png", "A 60965-2024")</f>
        <v/>
      </c>
      <c r="Y23">
        <f>HYPERLINK("https://klasma.github.io/Logging_1785/kartor_geotiff/A 60965-2024 georefererad karta.tif", "A 60965-2024")</f>
        <v/>
      </c>
      <c r="AA23">
        <f>HYPERLINK("https://klasma.github.io/Logging_1785/klagomål/A 60965-2024 FSC-klagomål.docx", "A 60965-2024")</f>
        <v/>
      </c>
      <c r="AB23">
        <f>HYPERLINK("https://klasma.github.io/Logging_1785/klagomålsmail/A 60965-2024 FSC-klagomål mail.docx", "A 60965-2024")</f>
        <v/>
      </c>
      <c r="AC23">
        <f>HYPERLINK("https://klasma.github.io/Logging_1785/tillsyn/A 60965-2024 tillsynsbegäran.docx", "A 60965-2024")</f>
        <v/>
      </c>
      <c r="AD23">
        <f>HYPERLINK("https://klasma.github.io/Logging_1785/tillsynsmail/A 60965-2024 tillsynsbegäran mail.docx", "A 60965-2024")</f>
        <v/>
      </c>
    </row>
    <row r="24" ht="15" customHeight="1">
      <c r="A24" t="inlineStr">
        <is>
          <t>A 36273-2024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46316</v>
      </c>
      <c r="F24" t="inlineStr">
        <is>
          <t>VÄRMLANDS LÄN</t>
        </is>
      </c>
      <c r="G24" t="inlineStr">
        <is>
          <t>SÄFFLE</t>
        </is>
      </c>
      <c r="I24" t="n">
        <v>4.8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Vätteros</t>
        </is>
      </c>
      <c r="W24">
        <f>HYPERLINK("https://klasma.github.io/Logging_1785/artfynd/A 36273-2024 artfynd.xlsx", "A 36273-2024")</f>
        <v/>
      </c>
      <c r="X24">
        <f>HYPERLINK("https://klasma.github.io/Logging_1785/kartor/A 36273-2024 karta.png", "A 36273-2024")</f>
        <v/>
      </c>
      <c r="Y24">
        <f>HYPERLINK("https://klasma.github.io/Logging_1785/kartor_geotiff/A 36273-2024 georefererad karta.tif", "A 36273-2024")</f>
        <v/>
      </c>
      <c r="AA24">
        <f>HYPERLINK("https://klasma.github.io/Logging_1785/klagomål/A 36273-2024 FSC-klagomål.docx", "A 36273-2024")</f>
        <v/>
      </c>
      <c r="AB24">
        <f>HYPERLINK("https://klasma.github.io/Logging_1785/klagomålsmail/A 36273-2024 FSC-klagomål mail.docx", "A 36273-2024")</f>
        <v/>
      </c>
      <c r="AC24">
        <f>HYPERLINK("https://klasma.github.io/Logging_1785/tillsyn/A 36273-2024 tillsynsbegäran.docx", "A 36273-2024")</f>
        <v/>
      </c>
      <c r="AD24">
        <f>HYPERLINK("https://klasma.github.io/Logging_1785/tillsynsmail/A 36273-2024 tillsynsbegäran mail.docx", "A 36273-2024")</f>
        <v/>
      </c>
    </row>
    <row r="25" ht="15" customHeight="1">
      <c r="A25" t="inlineStr">
        <is>
          <t>A 38621-2023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45162</v>
      </c>
      <c r="E25" s="1" t="n">
        <v>46316</v>
      </c>
      <c r="F25" t="inlineStr">
        <is>
          <t>VÄRMLANDS LÄN</t>
        </is>
      </c>
      <c r="G25" t="inlineStr">
        <is>
          <t>SÄFFLE</t>
        </is>
      </c>
      <c r="I25" t="n">
        <v>2.5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Åkerkulla</t>
        </is>
      </c>
      <c r="W25">
        <f>HYPERLINK("https://klasma.github.io/Logging_1785/artfynd/A 38621-2023 artfynd.xlsx", "A 38621-2023")</f>
        <v/>
      </c>
      <c r="X25">
        <f>HYPERLINK("https://klasma.github.io/Logging_1785/kartor/A 38621-2023 karta.png", "A 38621-2023")</f>
        <v/>
      </c>
      <c r="Y25">
        <f>HYPERLINK("https://klasma.github.io/Logging_1785/kartor_geotiff/A 38621-2023 georefererad karta.tif", "A 38621-2023")</f>
        <v/>
      </c>
      <c r="AA25">
        <f>HYPERLINK("https://klasma.github.io/Logging_1785/klagomål/A 38621-2023 FSC-klagomål.docx", "A 38621-2023")</f>
        <v/>
      </c>
      <c r="AB25">
        <f>HYPERLINK("https://klasma.github.io/Logging_1785/klagomålsmail/A 38621-2023 FSC-klagomål mail.docx", "A 38621-2023")</f>
        <v/>
      </c>
      <c r="AC25">
        <f>HYPERLINK("https://klasma.github.io/Logging_1785/tillsyn/A 38621-2023 tillsynsbegäran.docx", "A 38621-2023")</f>
        <v/>
      </c>
      <c r="AD25">
        <f>HYPERLINK("https://klasma.github.io/Logging_1785/tillsynsmail/A 38621-2023 tillsynsbegäran mail.docx", "A 38621-2023")</f>
        <v/>
      </c>
    </row>
    <row r="26" ht="15" customHeight="1">
      <c r="A26" t="inlineStr">
        <is>
          <t>A 61612-2024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45646</v>
      </c>
      <c r="E26" s="1" t="n">
        <v>46316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HYPERLINK("https://klasma.github.io/Logging_1785/artfynd/A 61612-2024 artfynd.xlsx", "A 61612-2024")</f>
        <v/>
      </c>
      <c r="X26">
        <f>HYPERLINK("https://klasma.github.io/Logging_1785/kartor/A 61612-2024 karta.png", "A 61612-2024")</f>
        <v/>
      </c>
      <c r="Y26">
        <f>HYPERLINK("https://klasma.github.io/Logging_1785/kartor_geotiff/A 61612-2024 georefererad karta.tif", "A 61612-2024")</f>
        <v/>
      </c>
      <c r="AA26">
        <f>HYPERLINK("https://klasma.github.io/Logging_1785/klagomål/A 61612-2024 FSC-klagomål.docx", "A 61612-2024")</f>
        <v/>
      </c>
      <c r="AB26">
        <f>HYPERLINK("https://klasma.github.io/Logging_1785/klagomålsmail/A 61612-2024 FSC-klagomål mail.docx", "A 61612-2024")</f>
        <v/>
      </c>
      <c r="AC26">
        <f>HYPERLINK("https://klasma.github.io/Logging_1785/tillsyn/A 61612-2024 tillsynsbegäran.docx", "A 61612-2024")</f>
        <v/>
      </c>
      <c r="AD26">
        <f>HYPERLINK("https://klasma.github.io/Logging_1785/tillsynsmail/A 61612-2024 tillsynsbegäran mail.docx", "A 61612-2024")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46316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Springkorn</t>
        </is>
      </c>
      <c r="W27">
        <f>HYPERLINK("https://klasma.github.io/Logging_1785/artfynd/A 43852-2025 artfynd.xlsx", "A 43852-2025")</f>
        <v/>
      </c>
      <c r="X27">
        <f>HYPERLINK("https://klasma.github.io/Logging_1785/kartor/A 43852-2025 karta.png", "A 43852-2025")</f>
        <v/>
      </c>
      <c r="Y27">
        <f>HYPERLINK("https://klasma.github.io/Logging_1785/kartor_geotiff/A 43852-2025 georefererad karta.tif", "A 43852-2025")</f>
        <v/>
      </c>
      <c r="AA27">
        <f>HYPERLINK("https://klasma.github.io/Logging_1785/klagomål/A 43852-2025 FSC-klagomål.docx", "A 43852-2025")</f>
        <v/>
      </c>
      <c r="AB27">
        <f>HYPERLINK("https://klasma.github.io/Logging_1785/klagomålsmail/A 43852-2025 FSC-klagomål mail.docx", "A 43852-2025")</f>
        <v/>
      </c>
      <c r="AC27">
        <f>HYPERLINK("https://klasma.github.io/Logging_1785/tillsyn/A 43852-2025 tillsynsbegäran.docx", "A 43852-2025")</f>
        <v/>
      </c>
      <c r="AD27">
        <f>HYPERLINK("https://klasma.github.io/Logging_1785/tillsynsmail/A 43852-2025 tillsynsbegäran mail.docx", "A 43852-2025")</f>
        <v/>
      </c>
    </row>
    <row r="28" ht="15" customHeight="1">
      <c r="A28" t="inlineStr">
        <is>
          <t>A 31226-2025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46316</v>
      </c>
      <c r="F28" t="inlineStr">
        <is>
          <t>VÄRMLANDS LÄN</t>
        </is>
      </c>
      <c r="G28" t="inlineStr">
        <is>
          <t>SÄFFLE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HYPERLINK("https://klasma.github.io/Logging_1785/artfynd/A 31226-2025 artfynd.xlsx", "A 31226-2025")</f>
        <v/>
      </c>
      <c r="X28">
        <f>HYPERLINK("https://klasma.github.io/Logging_1785/kartor/A 31226-2025 karta.png", "A 31226-2025")</f>
        <v/>
      </c>
      <c r="Y28">
        <f>HYPERLINK("https://klasma.github.io/Logging_1785/kartor_geotiff/A 31226-2025 georefererad karta.tif", "A 31226-2025")</f>
        <v/>
      </c>
      <c r="AA28">
        <f>HYPERLINK("https://klasma.github.io/Logging_1785/klagomål/A 31226-2025 FSC-klagomål.docx", "A 31226-2025")</f>
        <v/>
      </c>
      <c r="AB28">
        <f>HYPERLINK("https://klasma.github.io/Logging_1785/klagomålsmail/A 31226-2025 FSC-klagomål mail.docx", "A 31226-2025")</f>
        <v/>
      </c>
      <c r="AC28">
        <f>HYPERLINK("https://klasma.github.io/Logging_1785/tillsyn/A 31226-2025 tillsynsbegäran.docx", "A 31226-2025")</f>
        <v/>
      </c>
      <c r="AD28">
        <f>HYPERLINK("https://klasma.github.io/Logging_1785/tillsynsmail/A 31226-2025 tillsynsbegäran mail.docx", "A 31226-2025")</f>
        <v/>
      </c>
    </row>
    <row r="29" ht="15" customHeight="1">
      <c r="A29" t="inlineStr">
        <is>
          <t>A 2740-2023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46316</v>
      </c>
      <c r="F29" t="inlineStr">
        <is>
          <t>VÄRMLANDS LÄN</t>
        </is>
      </c>
      <c r="G29" t="inlineStr">
        <is>
          <t>SÄFFLE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HYPERLINK("https://klasma.github.io/Logging_1785/artfynd/A 2740-2023 artfynd.xlsx", "A 2740-2023")</f>
        <v/>
      </c>
      <c r="X29">
        <f>HYPERLINK("https://klasma.github.io/Logging_1785/kartor/A 2740-2023 karta.png", "A 2740-2023")</f>
        <v/>
      </c>
      <c r="Y29">
        <f>HYPERLINK("https://klasma.github.io/Logging_1785/kartor_geotiff/A 2740-2023 georefererad karta.tif", "A 2740-2023")</f>
        <v/>
      </c>
      <c r="AA29">
        <f>HYPERLINK("https://klasma.github.io/Logging_1785/klagomål/A 2740-2023 FSC-klagomål.docx", "A 2740-2023")</f>
        <v/>
      </c>
      <c r="AB29">
        <f>HYPERLINK("https://klasma.github.io/Logging_1785/klagomålsmail/A 2740-2023 FSC-klagomål mail.docx", "A 2740-2023")</f>
        <v/>
      </c>
      <c r="AC29">
        <f>HYPERLINK("https://klasma.github.io/Logging_1785/tillsyn/A 2740-2023 tillsynsbegäran.docx", "A 2740-2023")</f>
        <v/>
      </c>
      <c r="AD29">
        <f>HYPERLINK("https://klasma.github.io/Logging_1785/tillsynsmail/A 2740-2023 tillsynsbegäran mail.docx", "A 2740-2023")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46316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46316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46316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46316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33538-2025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46316</v>
      </c>
      <c r="F34" t="inlineStr">
        <is>
          <t>VÄRMLANDS LÄN</t>
        </is>
      </c>
      <c r="G34" t="inlineStr">
        <is>
          <t>SÄFFLE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33538-2025 artfynd.xlsx", "A 33538-2025")</f>
        <v/>
      </c>
      <c r="X34">
        <f>HYPERLINK("https://klasma.github.io/Logging_1785/kartor/A 33538-2025 karta.png", "A 33538-2025")</f>
        <v/>
      </c>
      <c r="Y34">
        <f>HYPERLINK("https://klasma.github.io/Logging_1785/kartor_geotiff/A 33538-2025 georefererad karta.tif", "A 33538-2025")</f>
        <v/>
      </c>
      <c r="AA34">
        <f>HYPERLINK("https://klasma.github.io/Logging_1785/klagomål/A 33538-2025 FSC-klagomål.docx", "A 33538-2025")</f>
        <v/>
      </c>
      <c r="AB34">
        <f>HYPERLINK("https://klasma.github.io/Logging_1785/klagomålsmail/A 33538-2025 FSC-klagomål mail.docx", "A 33538-2025")</f>
        <v/>
      </c>
      <c r="AC34">
        <f>HYPERLINK("https://klasma.github.io/Logging_1785/tillsyn/A 33538-2025 tillsynsbegäran.docx", "A 33538-2025")</f>
        <v/>
      </c>
      <c r="AD34">
        <f>HYPERLINK("https://klasma.github.io/Logging_1785/tillsynsmail/A 33538-2025 tillsynsbegäran mail.docx", "A 33538-2025")</f>
        <v/>
      </c>
    </row>
    <row r="35" ht="15" customHeight="1">
      <c r="A35" t="inlineStr">
        <is>
          <t>A 4394-2022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46316</v>
      </c>
      <c r="F35" t="inlineStr">
        <is>
          <t>VÄRMLANDS LÄN</t>
        </is>
      </c>
      <c r="G35" t="inlineStr">
        <is>
          <t>SÄFFLE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4394-2022 artfynd.xlsx", "A 4394-2022")</f>
        <v/>
      </c>
      <c r="X35">
        <f>HYPERLINK("https://klasma.github.io/Logging_1785/kartor/A 4394-2022 karta.png", "A 4394-2022")</f>
        <v/>
      </c>
      <c r="Y35">
        <f>HYPERLINK("https://klasma.github.io/Logging_1785/kartor_geotiff/A 4394-2022 georefererad karta.tif", "A 4394-2022")</f>
        <v/>
      </c>
      <c r="AA35">
        <f>HYPERLINK("https://klasma.github.io/Logging_1785/klagomål/A 4394-2022 FSC-klagomål.docx", "A 4394-2022")</f>
        <v/>
      </c>
      <c r="AB35">
        <f>HYPERLINK("https://klasma.github.io/Logging_1785/klagomålsmail/A 4394-2022 FSC-klagomål mail.docx", "A 4394-2022")</f>
        <v/>
      </c>
      <c r="AC35">
        <f>HYPERLINK("https://klasma.github.io/Logging_1785/tillsyn/A 4394-2022 tillsynsbegäran.docx", "A 4394-2022")</f>
        <v/>
      </c>
      <c r="AD35">
        <f>HYPERLINK("https://klasma.github.io/Logging_1785/tillsynsmail/A 4394-2022 tillsynsbegäran mail.docx", "A 4394-2022")</f>
        <v/>
      </c>
    </row>
    <row r="36" ht="15" customHeight="1">
      <c r="A36" t="inlineStr">
        <is>
          <t>A 12740-2024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46316</v>
      </c>
      <c r="F36" t="inlineStr">
        <is>
          <t>VÄRMLANDS LÄN</t>
        </is>
      </c>
      <c r="G36" t="inlineStr">
        <is>
          <t>SÄFFLE</t>
        </is>
      </c>
      <c r="I36" t="n">
        <v>3.7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HYPERLINK("https://klasma.github.io/Logging_1785/artfynd/A 12740-2024 artfynd.xlsx", "A 12740-2024")</f>
        <v/>
      </c>
      <c r="X36">
        <f>HYPERLINK("https://klasma.github.io/Logging_1785/kartor/A 12740-2024 karta.png", "A 12740-2024")</f>
        <v/>
      </c>
      <c r="Y36">
        <f>HYPERLINK("https://klasma.github.io/Logging_1785/kartor_geotiff/A 12740-2024 georefererad karta.tif", "A 12740-2024")</f>
        <v/>
      </c>
      <c r="AA36">
        <f>HYPERLINK("https://klasma.github.io/Logging_1785/klagomål/A 12740-2024 FSC-klagomål.docx", "A 12740-2024")</f>
        <v/>
      </c>
      <c r="AB36">
        <f>HYPERLINK("https://klasma.github.io/Logging_1785/klagomålsmail/A 12740-2024 FSC-klagomål mail.docx", "A 12740-2024")</f>
        <v/>
      </c>
      <c r="AC36">
        <f>HYPERLINK("https://klasma.github.io/Logging_1785/tillsyn/A 12740-2024 tillsynsbegäran.docx", "A 12740-2024")</f>
        <v/>
      </c>
      <c r="AD36">
        <f>HYPERLINK("https://klasma.github.io/Logging_1785/tillsynsmail/A 12740-2024 tillsynsbegäran mail.docx", "A 12740-2024")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46316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46316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46316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46316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46316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42132-2026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46304</v>
      </c>
      <c r="E42" s="1" t="n">
        <v>46316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42132-2026 artfynd.xlsx", "A 42132-2026")</f>
        <v/>
      </c>
      <c r="X42">
        <f>HYPERLINK("https://klasma.github.io/Logging_1785/kartor/A 42132-2026 karta.png", "A 42132-2026")</f>
        <v/>
      </c>
      <c r="Y42">
        <f>HYPERLINK("https://klasma.github.io/Logging_1785/kartor_geotiff/A 42132-2026 georefererad karta.tif", "A 42132-2026")</f>
        <v/>
      </c>
      <c r="AA42">
        <f>HYPERLINK("https://klasma.github.io/Logging_1785/klagomål/A 42132-2026 FSC-klagomål.docx", "A 42132-2026")</f>
        <v/>
      </c>
      <c r="AB42">
        <f>HYPERLINK("https://klasma.github.io/Logging_1785/klagomålsmail/A 42132-2026 FSC-klagomål mail.docx", "A 42132-2026")</f>
        <v/>
      </c>
      <c r="AC42">
        <f>HYPERLINK("https://klasma.github.io/Logging_1785/tillsyn/A 42132-2026 tillsynsbegäran.docx", "A 42132-2026")</f>
        <v/>
      </c>
      <c r="AD42">
        <f>HYPERLINK("https://klasma.github.io/Logging_1785/tillsynsmail/A 42132-2026 tillsynsbegäran mail.docx", "A 42132-2026")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46316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46316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46316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46316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46316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46316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46316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46316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46316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46316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46316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46316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46316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46316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46316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46316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46316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46316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46316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46316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44776</v>
      </c>
      <c r="E63" s="1" t="n">
        <v>46316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46316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46316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46316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46316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46316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46316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46316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46316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46316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46316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46316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46316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46316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46316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46316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46316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46316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46316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46316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46316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46316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46316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46316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46316</v>
      </c>
      <c r="F87" t="inlineStr">
        <is>
          <t>VÄRMLANDS LÄN</t>
        </is>
      </c>
      <c r="G87" t="inlineStr">
        <is>
          <t>SÄFFLE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46316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46316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46316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46316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46316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46316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46316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46316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46316</v>
      </c>
      <c r="F96" t="inlineStr">
        <is>
          <t>VÄRMLANDS LÄN</t>
        </is>
      </c>
      <c r="G96" t="inlineStr">
        <is>
          <t>SÄFFLE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73162-2021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44550</v>
      </c>
      <c r="E97" s="1" t="n">
        <v>46316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46316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46316</v>
      </c>
      <c r="F99" t="inlineStr">
        <is>
          <t>VÄRMLANDS LÄN</t>
        </is>
      </c>
      <c r="G99" t="inlineStr">
        <is>
          <t>SÄFFLE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46316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46316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46316</v>
      </c>
      <c r="F102" t="inlineStr">
        <is>
          <t>VÄRMLANDS LÄN</t>
        </is>
      </c>
      <c r="G102" t="inlineStr">
        <is>
          <t>SÄFFLE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46316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46316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46316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46316</v>
      </c>
      <c r="F106" t="inlineStr">
        <is>
          <t>VÄRMLANDS LÄN</t>
        </is>
      </c>
      <c r="G106" t="inlineStr">
        <is>
          <t>SÄFFLE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46316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46316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46316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46316</v>
      </c>
      <c r="F110" t="inlineStr">
        <is>
          <t>VÄRMLANDS LÄN</t>
        </is>
      </c>
      <c r="G110" t="inlineStr">
        <is>
          <t>SÄFFLE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46316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46316</v>
      </c>
      <c r="F112" t="inlineStr">
        <is>
          <t>VÄRMLANDS LÄN</t>
        </is>
      </c>
      <c r="G112" t="inlineStr">
        <is>
          <t>SÄFFLE</t>
        </is>
      </c>
      <c r="H112" t="inlineStr">
        <is>
          <t>Kyrkan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44829</v>
      </c>
      <c r="E113" s="1" t="n">
        <v>46316</v>
      </c>
      <c r="F113" t="inlineStr">
        <is>
          <t>VÄRMLANDS LÄN</t>
        </is>
      </c>
      <c r="G113" t="inlineStr">
        <is>
          <t>SÄFFLE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46316</v>
      </c>
      <c r="F114" t="inlineStr">
        <is>
          <t>VÄRMLANDS LÄN</t>
        </is>
      </c>
      <c r="G114" t="inlineStr">
        <is>
          <t>SÄFFLE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46316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46316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46316</v>
      </c>
      <c r="F117" t="inlineStr">
        <is>
          <t>VÄRMLANDS LÄN</t>
        </is>
      </c>
      <c r="G117" t="inlineStr">
        <is>
          <t>SÄFFLE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46316</v>
      </c>
      <c r="F118" t="inlineStr">
        <is>
          <t>VÄRMLANDS LÄN</t>
        </is>
      </c>
      <c r="G118" t="inlineStr">
        <is>
          <t>SÄFFLE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63781-2023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45278</v>
      </c>
      <c r="E119" s="1" t="n">
        <v>46316</v>
      </c>
      <c r="F119" t="inlineStr">
        <is>
          <t>VÄRMLANDS LÄN</t>
        </is>
      </c>
      <c r="G119" t="inlineStr">
        <is>
          <t>SÄFFLE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45712</v>
      </c>
      <c r="E120" s="1" t="n">
        <v>46316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19506-2023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45050</v>
      </c>
      <c r="E121" s="1" t="n">
        <v>46316</v>
      </c>
      <c r="F121" t="inlineStr">
        <is>
          <t>VÄRMLANDS LÄN</t>
        </is>
      </c>
      <c r="G121" t="inlineStr">
        <is>
          <t>SÄFFLE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19508-2023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45050</v>
      </c>
      <c r="E122" s="1" t="n">
        <v>46316</v>
      </c>
      <c r="F122" t="inlineStr">
        <is>
          <t>VÄRMLANDS LÄN</t>
        </is>
      </c>
      <c r="G122" t="inlineStr">
        <is>
          <t>SÄFFLE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46316</v>
      </c>
      <c r="F123" t="inlineStr">
        <is>
          <t>VÄRMLANDS LÄN</t>
        </is>
      </c>
      <c r="G123" t="inlineStr">
        <is>
          <t>SÄFFLE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46316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46316</v>
      </c>
      <c r="F125" t="inlineStr">
        <is>
          <t>VÄRMLANDS LÄN</t>
        </is>
      </c>
      <c r="G125" t="inlineStr">
        <is>
          <t>SÄFFLE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46316</v>
      </c>
      <c r="F126" t="inlineStr">
        <is>
          <t>VÄRMLANDS LÄN</t>
        </is>
      </c>
      <c r="G126" t="inlineStr">
        <is>
          <t>SÄFFLE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46316</v>
      </c>
      <c r="F127" t="inlineStr">
        <is>
          <t>VÄRMLANDS LÄN</t>
        </is>
      </c>
      <c r="G127" t="inlineStr">
        <is>
          <t>SÄFFLE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46316</v>
      </c>
      <c r="F128" t="inlineStr">
        <is>
          <t>VÄRMLANDS LÄN</t>
        </is>
      </c>
      <c r="G128" t="inlineStr">
        <is>
          <t>SÄFFLE</t>
        </is>
      </c>
      <c r="I128" t="n">
        <v>19.9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46316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45171</v>
      </c>
      <c r="E130" s="1" t="n">
        <v>46316</v>
      </c>
      <c r="F130" t="inlineStr">
        <is>
          <t>VÄRMLANDS LÄN</t>
        </is>
      </c>
      <c r="G130" t="inlineStr">
        <is>
          <t>SÄFFLE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64803-2021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46316</v>
      </c>
      <c r="F131" t="inlineStr">
        <is>
          <t>VÄRMLANDS LÄN</t>
        </is>
      </c>
      <c r="G131" t="inlineStr">
        <is>
          <t>SÄFFLE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46316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46316</v>
      </c>
      <c r="F133" t="inlineStr">
        <is>
          <t>VÄRMLANDS LÄN</t>
        </is>
      </c>
      <c r="G133" t="inlineStr">
        <is>
          <t>SÄFFLE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45279</v>
      </c>
      <c r="E134" s="1" t="n">
        <v>46316</v>
      </c>
      <c r="F134" t="inlineStr">
        <is>
          <t>VÄRMLANDS LÄN</t>
        </is>
      </c>
      <c r="G134" t="inlineStr">
        <is>
          <t>SÄFFLE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45278</v>
      </c>
      <c r="E135" s="1" t="n">
        <v>46316</v>
      </c>
      <c r="F135" t="inlineStr">
        <is>
          <t>VÄRMLANDS LÄN</t>
        </is>
      </c>
      <c r="G135" t="inlineStr">
        <is>
          <t>SÄFFLE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46316</v>
      </c>
      <c r="F136" t="inlineStr">
        <is>
          <t>VÄRMLANDS LÄN</t>
        </is>
      </c>
      <c r="G136" t="inlineStr">
        <is>
          <t>SÄFFLE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44745</v>
      </c>
      <c r="E137" s="1" t="n">
        <v>46316</v>
      </c>
      <c r="F137" t="inlineStr">
        <is>
          <t>VÄRMLANDS LÄN</t>
        </is>
      </c>
      <c r="G137" t="inlineStr">
        <is>
          <t>SÄFFLE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46316</v>
      </c>
      <c r="F138" t="inlineStr">
        <is>
          <t>VÄRMLANDS LÄN</t>
        </is>
      </c>
      <c r="G138" t="inlineStr">
        <is>
          <t>SÄFFLE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46316</v>
      </c>
      <c r="F139" t="inlineStr">
        <is>
          <t>VÄRMLANDS LÄN</t>
        </is>
      </c>
      <c r="G139" t="inlineStr">
        <is>
          <t>SÄFFLE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44709</v>
      </c>
      <c r="E140" s="1" t="n">
        <v>46316</v>
      </c>
      <c r="F140" t="inlineStr">
        <is>
          <t>VÄRMLANDS LÄN</t>
        </is>
      </c>
      <c r="G140" t="inlineStr">
        <is>
          <t>SÄFFLE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44606</v>
      </c>
      <c r="E141" s="1" t="n">
        <v>46316</v>
      </c>
      <c r="F141" t="inlineStr">
        <is>
          <t>VÄRMLANDS LÄN</t>
        </is>
      </c>
      <c r="G141" t="inlineStr">
        <is>
          <t>SÄFFLE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46316</v>
      </c>
      <c r="F142" t="inlineStr">
        <is>
          <t>VÄRMLANDS LÄN</t>
        </is>
      </c>
      <c r="G142" t="inlineStr">
        <is>
          <t>SÄFFLE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46316</v>
      </c>
      <c r="F143" t="inlineStr">
        <is>
          <t>VÄRMLANDS LÄN</t>
        </is>
      </c>
      <c r="G143" t="inlineStr">
        <is>
          <t>SÄFFLE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46316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44627</v>
      </c>
      <c r="E145" s="1" t="n">
        <v>46316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46316</v>
      </c>
      <c r="F146" t="inlineStr">
        <is>
          <t>VÄRMLANDS LÄN</t>
        </is>
      </c>
      <c r="G146" t="inlineStr">
        <is>
          <t>SÄFFLE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46316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46316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46316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46316</v>
      </c>
      <c r="F150" t="inlineStr">
        <is>
          <t>VÄRMLANDS LÄN</t>
        </is>
      </c>
      <c r="G150" t="inlineStr">
        <is>
          <t>SÄFFLE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45791</v>
      </c>
      <c r="E151" s="1" t="n">
        <v>46316</v>
      </c>
      <c r="F151" t="inlineStr">
        <is>
          <t>VÄRMLANDS LÄN</t>
        </is>
      </c>
      <c r="G151" t="inlineStr">
        <is>
          <t>SÄFFLE</t>
        </is>
      </c>
      <c r="H151" t="inlineStr">
        <is>
          <t>Bergvik skog väst AB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46316</v>
      </c>
      <c r="F152" t="inlineStr">
        <is>
          <t>VÄRMLANDS LÄN</t>
        </is>
      </c>
      <c r="G152" t="inlineStr">
        <is>
          <t>SÄFFLE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46316</v>
      </c>
      <c r="F153" t="inlineStr">
        <is>
          <t>VÄRMLANDS LÄN</t>
        </is>
      </c>
      <c r="G153" t="inlineStr">
        <is>
          <t>SÄFFLE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44823</v>
      </c>
      <c r="E154" s="1" t="n">
        <v>46316</v>
      </c>
      <c r="F154" t="inlineStr">
        <is>
          <t>VÄRMLANDS LÄN</t>
        </is>
      </c>
      <c r="G154" t="inlineStr">
        <is>
          <t>SÄFFLE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46316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45372</v>
      </c>
      <c r="E156" s="1" t="n">
        <v>46316</v>
      </c>
      <c r="F156" t="inlineStr">
        <is>
          <t>VÄRMLANDS LÄN</t>
        </is>
      </c>
      <c r="G156" t="inlineStr">
        <is>
          <t>SÄFFLE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46316</v>
      </c>
      <c r="F157" t="inlineStr">
        <is>
          <t>VÄRMLANDS LÄN</t>
        </is>
      </c>
      <c r="G157" t="inlineStr">
        <is>
          <t>SÄFFLE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46316</v>
      </c>
      <c r="F158" t="inlineStr">
        <is>
          <t>VÄRMLANDS LÄN</t>
        </is>
      </c>
      <c r="G158" t="inlineStr">
        <is>
          <t>SÄFFLE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46316</v>
      </c>
      <c r="F159" t="inlineStr">
        <is>
          <t>VÄRMLANDS LÄN</t>
        </is>
      </c>
      <c r="G159" t="inlineStr">
        <is>
          <t>SÄFFLE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45988</v>
      </c>
      <c r="E160" s="1" t="n">
        <v>46316</v>
      </c>
      <c r="F160" t="inlineStr">
        <is>
          <t>VÄRMLANDS LÄN</t>
        </is>
      </c>
      <c r="G160" t="inlineStr">
        <is>
          <t>SÄFFLE</t>
        </is>
      </c>
      <c r="I160" t="n">
        <v>11.1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46316</v>
      </c>
      <c r="F161" t="inlineStr">
        <is>
          <t>VÄRMLANDS LÄN</t>
        </is>
      </c>
      <c r="G161" t="inlineStr">
        <is>
          <t>SÄFFLE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46316</v>
      </c>
      <c r="F162" t="inlineStr">
        <is>
          <t>VÄRMLANDS LÄN</t>
        </is>
      </c>
      <c r="G162" t="inlineStr">
        <is>
          <t>SÄFFLE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46316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46316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46316</v>
      </c>
      <c r="F165" t="inlineStr">
        <is>
          <t>VÄRMLANDS LÄN</t>
        </is>
      </c>
      <c r="G165" t="inlineStr">
        <is>
          <t>SÄFFLE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46316</v>
      </c>
      <c r="F166" t="inlineStr">
        <is>
          <t>VÄRMLANDS LÄN</t>
        </is>
      </c>
      <c r="G166" t="inlineStr">
        <is>
          <t>SÄFFLE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45707</v>
      </c>
      <c r="E167" s="1" t="n">
        <v>46316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45323</v>
      </c>
      <c r="E168" s="1" t="n">
        <v>46316</v>
      </c>
      <c r="F168" t="inlineStr">
        <is>
          <t>VÄRMLANDS LÄN</t>
        </is>
      </c>
      <c r="G168" t="inlineStr">
        <is>
          <t>SÄFFLE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46316</v>
      </c>
      <c r="F169" t="inlineStr">
        <is>
          <t>VÄRMLANDS LÄN</t>
        </is>
      </c>
      <c r="G169" t="inlineStr">
        <is>
          <t>SÄFFLE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62119-2025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46006</v>
      </c>
      <c r="E170" s="1" t="n">
        <v>46316</v>
      </c>
      <c r="F170" t="inlineStr">
        <is>
          <t>VÄRMLANDS LÄN</t>
        </is>
      </c>
      <c r="G170" t="inlineStr">
        <is>
          <t>SÄFFLE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46316</v>
      </c>
      <c r="F171" t="inlineStr">
        <is>
          <t>VÄRMLANDS LÄN</t>
        </is>
      </c>
      <c r="G171" t="inlineStr">
        <is>
          <t>SÄFFLE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45107</v>
      </c>
      <c r="E172" s="1" t="n">
        <v>46316</v>
      </c>
      <c r="F172" t="inlineStr">
        <is>
          <t>VÄRMLANDS LÄN</t>
        </is>
      </c>
      <c r="G172" t="inlineStr">
        <is>
          <t>SÄFFLE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46316</v>
      </c>
      <c r="F173" t="inlineStr">
        <is>
          <t>VÄRMLANDS LÄN</t>
        </is>
      </c>
      <c r="G173" t="inlineStr">
        <is>
          <t>SÄFFLE</t>
        </is>
      </c>
      <c r="I173" t="n">
        <v>16.1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46316</v>
      </c>
      <c r="F174" t="inlineStr">
        <is>
          <t>VÄRMLANDS LÄN</t>
        </is>
      </c>
      <c r="G174" t="inlineStr">
        <is>
          <t>SÄFFLE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46316</v>
      </c>
      <c r="F175" t="inlineStr">
        <is>
          <t>VÄRMLANDS LÄN</t>
        </is>
      </c>
      <c r="G175" t="inlineStr">
        <is>
          <t>SÄFFLE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45226</v>
      </c>
      <c r="E176" s="1" t="n">
        <v>46316</v>
      </c>
      <c r="F176" t="inlineStr">
        <is>
          <t>VÄRMLANDS LÄN</t>
        </is>
      </c>
      <c r="G176" t="inlineStr">
        <is>
          <t>SÄFFLE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46316</v>
      </c>
      <c r="F177" t="inlineStr">
        <is>
          <t>VÄRMLANDS LÄN</t>
        </is>
      </c>
      <c r="G177" t="inlineStr">
        <is>
          <t>SÄFFLE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46316</v>
      </c>
      <c r="F178" t="inlineStr">
        <is>
          <t>VÄRMLANDS LÄN</t>
        </is>
      </c>
      <c r="G178" t="inlineStr">
        <is>
          <t>SÄFFLE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46316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46316</v>
      </c>
      <c r="F180" t="inlineStr">
        <is>
          <t>VÄRMLANDS LÄN</t>
        </is>
      </c>
      <c r="G180" t="inlineStr">
        <is>
          <t>SÄFFLE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46316</v>
      </c>
      <c r="F181" t="inlineStr">
        <is>
          <t>VÄRMLANDS LÄN</t>
        </is>
      </c>
      <c r="G181" t="inlineStr">
        <is>
          <t>SÄFFLE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46316</v>
      </c>
      <c r="F182" t="inlineStr">
        <is>
          <t>VÄRMLANDS LÄN</t>
        </is>
      </c>
      <c r="G182" t="inlineStr">
        <is>
          <t>SÄFFLE</t>
        </is>
      </c>
      <c r="H182" t="inlineStr">
        <is>
          <t>Kyrkan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45558</v>
      </c>
      <c r="E183" s="1" t="n">
        <v>46316</v>
      </c>
      <c r="F183" t="inlineStr">
        <is>
          <t>VÄRMLANDS LÄN</t>
        </is>
      </c>
      <c r="G183" t="inlineStr">
        <is>
          <t>SÄFFLE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45454</v>
      </c>
      <c r="E184" s="1" t="n">
        <v>46316</v>
      </c>
      <c r="F184" t="inlineStr">
        <is>
          <t>VÄRMLANDS LÄN</t>
        </is>
      </c>
      <c r="G184" t="inlineStr">
        <is>
          <t>SÄFFLE</t>
        </is>
      </c>
      <c r="H184" t="inlineStr">
        <is>
          <t>Kommuner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46316</v>
      </c>
      <c r="F185" t="inlineStr">
        <is>
          <t>VÄRMLANDS LÄN</t>
        </is>
      </c>
      <c r="G185" t="inlineStr">
        <is>
          <t>SÄFFLE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46316</v>
      </c>
      <c r="F186" t="inlineStr">
        <is>
          <t>VÄRMLANDS LÄN</t>
        </is>
      </c>
      <c r="G186" t="inlineStr">
        <is>
          <t>SÄFFLE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46316</v>
      </c>
      <c r="F187" t="inlineStr">
        <is>
          <t>VÄRMLANDS LÄN</t>
        </is>
      </c>
      <c r="G187" t="inlineStr">
        <is>
          <t>SÄFFLE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46316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39985-2025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45893</v>
      </c>
      <c r="E189" s="1" t="n">
        <v>46316</v>
      </c>
      <c r="F189" t="inlineStr">
        <is>
          <t>VÄRMLANDS LÄN</t>
        </is>
      </c>
      <c r="G189" t="inlineStr">
        <is>
          <t>SÄFFLE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45893</v>
      </c>
      <c r="E190" s="1" t="n">
        <v>46316</v>
      </c>
      <c r="F190" t="inlineStr">
        <is>
          <t>VÄRMLANDS LÄN</t>
        </is>
      </c>
      <c r="G190" t="inlineStr">
        <is>
          <t>SÄFFLE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46316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46316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45520</v>
      </c>
      <c r="E193" s="1" t="n">
        <v>46316</v>
      </c>
      <c r="F193" t="inlineStr">
        <is>
          <t>VÄRMLANDS LÄN</t>
        </is>
      </c>
      <c r="G193" t="inlineStr">
        <is>
          <t>SÄFFLE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46316</v>
      </c>
      <c r="F194" t="inlineStr">
        <is>
          <t>VÄRMLANDS LÄN</t>
        </is>
      </c>
      <c r="G194" t="inlineStr">
        <is>
          <t>SÄFFLE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39984-2025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45893</v>
      </c>
      <c r="E195" s="1" t="n">
        <v>46316</v>
      </c>
      <c r="F195" t="inlineStr">
        <is>
          <t>VÄRMLANDS LÄN</t>
        </is>
      </c>
      <c r="G195" t="inlineStr">
        <is>
          <t>SÄFFLE</t>
        </is>
      </c>
      <c r="I195" t="n">
        <v>12.9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39986-2025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45893</v>
      </c>
      <c r="E196" s="1" t="n">
        <v>46316</v>
      </c>
      <c r="F196" t="inlineStr">
        <is>
          <t>VÄRMLANDS LÄN</t>
        </is>
      </c>
      <c r="G196" t="inlineStr">
        <is>
          <t>SÄFFLE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44720</v>
      </c>
      <c r="E197" s="1" t="n">
        <v>46316</v>
      </c>
      <c r="F197" t="inlineStr">
        <is>
          <t>VÄRMLANDS LÄN</t>
        </is>
      </c>
      <c r="G197" t="inlineStr">
        <is>
          <t>SÄFFLE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46316</v>
      </c>
      <c r="F198" t="inlineStr">
        <is>
          <t>VÄRMLANDS LÄN</t>
        </is>
      </c>
      <c r="G198" t="inlineStr">
        <is>
          <t>SÄFFLE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46316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46316</v>
      </c>
      <c r="F200" t="inlineStr">
        <is>
          <t>VÄRMLANDS LÄN</t>
        </is>
      </c>
      <c r="G200" t="inlineStr">
        <is>
          <t>SÄFFLE</t>
        </is>
      </c>
      <c r="H200" t="inlineStr">
        <is>
          <t>Bergvik skog väst AB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44763</v>
      </c>
      <c r="E201" s="1" t="n">
        <v>46316</v>
      </c>
      <c r="F201" t="inlineStr">
        <is>
          <t>VÄRMLANDS LÄN</t>
        </is>
      </c>
      <c r="G201" t="inlineStr">
        <is>
          <t>SÄFFLE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45503</v>
      </c>
      <c r="E202" s="1" t="n">
        <v>46316</v>
      </c>
      <c r="F202" t="inlineStr">
        <is>
          <t>VÄRMLANDS LÄN</t>
        </is>
      </c>
      <c r="G202" t="inlineStr">
        <is>
          <t>SÄFFLE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44911</v>
      </c>
      <c r="E203" s="1" t="n">
        <v>46316</v>
      </c>
      <c r="F203" t="inlineStr">
        <is>
          <t>VÄRMLANDS LÄN</t>
        </is>
      </c>
      <c r="G203" t="inlineStr">
        <is>
          <t>SÄFFLE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9252-2024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45358</v>
      </c>
      <c r="E204" s="1" t="n">
        <v>46316</v>
      </c>
      <c r="F204" t="inlineStr">
        <is>
          <t>VÄRMLANDS LÄN</t>
        </is>
      </c>
      <c r="G204" t="inlineStr">
        <is>
          <t>SÄFFLE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46316</v>
      </c>
      <c r="F205" t="inlineStr">
        <is>
          <t>VÄRMLANDS LÄN</t>
        </is>
      </c>
      <c r="G205" t="inlineStr">
        <is>
          <t>SÄFFLE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44872</v>
      </c>
      <c r="E206" s="1" t="n">
        <v>46316</v>
      </c>
      <c r="F206" t="inlineStr">
        <is>
          <t>VÄRMLANDS LÄN</t>
        </is>
      </c>
      <c r="G206" t="inlineStr">
        <is>
          <t>SÄFFLE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45398</v>
      </c>
      <c r="E207" s="1" t="n">
        <v>46316</v>
      </c>
      <c r="F207" t="inlineStr">
        <is>
          <t>VÄRMLANDS LÄN</t>
        </is>
      </c>
      <c r="G207" t="inlineStr">
        <is>
          <t>SÄFFLE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46316</v>
      </c>
      <c r="F208" t="inlineStr">
        <is>
          <t>VÄRMLANDS LÄN</t>
        </is>
      </c>
      <c r="G208" t="inlineStr">
        <is>
          <t>SÄFFLE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46316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46316</v>
      </c>
      <c r="F210" t="inlineStr">
        <is>
          <t>VÄRMLANDS LÄN</t>
        </is>
      </c>
      <c r="G210" t="inlineStr">
        <is>
          <t>SÄFFLE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46316</v>
      </c>
      <c r="F211" t="inlineStr">
        <is>
          <t>VÄRMLANDS LÄN</t>
        </is>
      </c>
      <c r="G211" t="inlineStr">
        <is>
          <t>SÄFFLE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46316</v>
      </c>
      <c r="F212" t="inlineStr">
        <is>
          <t>VÄRMLANDS LÄN</t>
        </is>
      </c>
      <c r="G212" t="inlineStr">
        <is>
          <t>SÄFFLE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46316</v>
      </c>
      <c r="F213" t="inlineStr">
        <is>
          <t>VÄRMLANDS LÄN</t>
        </is>
      </c>
      <c r="G213" t="inlineStr">
        <is>
          <t>SÄFFLE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46316</v>
      </c>
      <c r="F214" t="inlineStr">
        <is>
          <t>VÄRMLANDS LÄN</t>
        </is>
      </c>
      <c r="G214" t="inlineStr">
        <is>
          <t>SÄFFLE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46316</v>
      </c>
      <c r="F215" t="inlineStr">
        <is>
          <t>VÄRMLANDS LÄN</t>
        </is>
      </c>
      <c r="G215" t="inlineStr">
        <is>
          <t>SÄFFLE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46316</v>
      </c>
      <c r="F216" t="inlineStr">
        <is>
          <t>VÄRMLANDS LÄN</t>
        </is>
      </c>
      <c r="G216" t="inlineStr">
        <is>
          <t>SÄFFLE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46316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46316</v>
      </c>
      <c r="F218" t="inlineStr">
        <is>
          <t>VÄRMLANDS LÄN</t>
        </is>
      </c>
      <c r="G218" t="inlineStr">
        <is>
          <t>SÄFFLE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18040-2025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45761</v>
      </c>
      <c r="E219" s="1" t="n">
        <v>46316</v>
      </c>
      <c r="F219" t="inlineStr">
        <is>
          <t>VÄRMLANDS LÄN</t>
        </is>
      </c>
      <c r="G219" t="inlineStr">
        <is>
          <t>SÄFFLE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46316</v>
      </c>
      <c r="F220" t="inlineStr">
        <is>
          <t>VÄRMLANDS LÄN</t>
        </is>
      </c>
      <c r="G220" t="inlineStr">
        <is>
          <t>SÄFFLE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46316</v>
      </c>
      <c r="F221" t="inlineStr">
        <is>
          <t>VÄRMLANDS LÄN</t>
        </is>
      </c>
      <c r="G221" t="inlineStr">
        <is>
          <t>SÄFFLE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45418</v>
      </c>
      <c r="E222" s="1" t="n">
        <v>46316</v>
      </c>
      <c r="F222" t="inlineStr">
        <is>
          <t>VÄRMLANDS LÄN</t>
        </is>
      </c>
      <c r="G222" t="inlineStr">
        <is>
          <t>SÄFFLE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46316</v>
      </c>
      <c r="F223" t="inlineStr">
        <is>
          <t>VÄRMLANDS LÄN</t>
        </is>
      </c>
      <c r="G223" t="inlineStr">
        <is>
          <t>SÄFFLE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46316</v>
      </c>
      <c r="F224" t="inlineStr">
        <is>
          <t>VÄRMLANDS LÄN</t>
        </is>
      </c>
      <c r="G224" t="inlineStr">
        <is>
          <t>SÄFFLE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46316</v>
      </c>
      <c r="F225" t="inlineStr">
        <is>
          <t>VÄRMLANDS LÄN</t>
        </is>
      </c>
      <c r="G225" t="inlineStr">
        <is>
          <t>SÄFFLE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45818</v>
      </c>
      <c r="E226" s="1" t="n">
        <v>46316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46316</v>
      </c>
      <c r="F227" t="inlineStr">
        <is>
          <t>VÄRMLANDS LÄN</t>
        </is>
      </c>
      <c r="G227" t="inlineStr">
        <is>
          <t>SÄFFLE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46316</v>
      </c>
      <c r="F228" t="inlineStr">
        <is>
          <t>VÄRMLANDS LÄN</t>
        </is>
      </c>
      <c r="G228" t="inlineStr">
        <is>
          <t>SÄFFLE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46316</v>
      </c>
      <c r="F229" t="inlineStr">
        <is>
          <t>VÄRMLANDS LÄN</t>
        </is>
      </c>
      <c r="G229" t="inlineStr">
        <is>
          <t>SÄFFLE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46316</v>
      </c>
      <c r="F230" t="inlineStr">
        <is>
          <t>VÄRMLANDS LÄN</t>
        </is>
      </c>
      <c r="G230" t="inlineStr">
        <is>
          <t>SÄFFLE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45904</v>
      </c>
      <c r="E231" s="1" t="n">
        <v>46316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46316</v>
      </c>
      <c r="F232" t="inlineStr">
        <is>
          <t>VÄRMLANDS LÄN</t>
        </is>
      </c>
      <c r="G232" t="inlineStr">
        <is>
          <t>SÄFFLE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45374</v>
      </c>
      <c r="E233" s="1" t="n">
        <v>46316</v>
      </c>
      <c r="F233" t="inlineStr">
        <is>
          <t>VÄRMLANDS LÄN</t>
        </is>
      </c>
      <c r="G233" t="inlineStr">
        <is>
          <t>SÄFFLE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45374</v>
      </c>
      <c r="E234" s="1" t="n">
        <v>46316</v>
      </c>
      <c r="F234" t="inlineStr">
        <is>
          <t>VÄRMLANDS LÄN</t>
        </is>
      </c>
      <c r="G234" t="inlineStr">
        <is>
          <t>SÄFFLE</t>
        </is>
      </c>
      <c r="H234" t="inlineStr">
        <is>
          <t>Kommuner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46316</v>
      </c>
      <c r="F235" t="inlineStr">
        <is>
          <t>VÄRMLANDS LÄN</t>
        </is>
      </c>
      <c r="G235" t="inlineStr">
        <is>
          <t>SÄFFLE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46041</v>
      </c>
      <c r="E236" s="1" t="n">
        <v>46316</v>
      </c>
      <c r="F236" t="inlineStr">
        <is>
          <t>VÄRMLANDS LÄN</t>
        </is>
      </c>
      <c r="G236" t="inlineStr">
        <is>
          <t>SÄFFLE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46316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46316</v>
      </c>
      <c r="F238" t="inlineStr">
        <is>
          <t>VÄRMLANDS LÄN</t>
        </is>
      </c>
      <c r="G238" t="inlineStr">
        <is>
          <t>SÄFFLE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45676</v>
      </c>
      <c r="E239" s="1" t="n">
        <v>46316</v>
      </c>
      <c r="F239" t="inlineStr">
        <is>
          <t>VÄRMLANDS LÄN</t>
        </is>
      </c>
      <c r="G239" t="inlineStr">
        <is>
          <t>SÄFFLE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43209-2025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45910</v>
      </c>
      <c r="E240" s="1" t="n">
        <v>46316</v>
      </c>
      <c r="F240" t="inlineStr">
        <is>
          <t>VÄRMLANDS LÄN</t>
        </is>
      </c>
      <c r="G240" t="inlineStr">
        <is>
          <t>SÄFFLE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46316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71292-2021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44538</v>
      </c>
      <c r="E242" s="1" t="n">
        <v>46316</v>
      </c>
      <c r="F242" t="inlineStr">
        <is>
          <t>VÄRMLANDS LÄN</t>
        </is>
      </c>
      <c r="G242" t="inlineStr">
        <is>
          <t>SÄFFLE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46316</v>
      </c>
      <c r="F243" t="inlineStr">
        <is>
          <t>VÄRMLANDS LÄN</t>
        </is>
      </c>
      <c r="G243" t="inlineStr">
        <is>
          <t>SÄFFLE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45912</v>
      </c>
      <c r="E244" s="1" t="n">
        <v>46316</v>
      </c>
      <c r="F244" t="inlineStr">
        <is>
          <t>VÄRMLANDS LÄN</t>
        </is>
      </c>
      <c r="G244" t="inlineStr">
        <is>
          <t>SÄFFLE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46316</v>
      </c>
      <c r="F245" t="inlineStr">
        <is>
          <t>VÄRMLANDS LÄN</t>
        </is>
      </c>
      <c r="G245" t="inlineStr">
        <is>
          <t>SÄFFLE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46045</v>
      </c>
      <c r="E246" s="1" t="n">
        <v>46316</v>
      </c>
      <c r="F246" t="inlineStr">
        <is>
          <t>VÄRMLANDS LÄN</t>
        </is>
      </c>
      <c r="G246" t="inlineStr">
        <is>
          <t>SÄFFLE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46316</v>
      </c>
      <c r="F247" t="inlineStr">
        <is>
          <t>VÄRMLANDS LÄN</t>
        </is>
      </c>
      <c r="G247" t="inlineStr">
        <is>
          <t>SÄFFLE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46316</v>
      </c>
      <c r="F248" t="inlineStr">
        <is>
          <t>VÄRMLANDS LÄN</t>
        </is>
      </c>
      <c r="G248" t="inlineStr">
        <is>
          <t>SÄFFLE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46045</v>
      </c>
      <c r="E249" s="1" t="n">
        <v>46316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31624-2024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45506</v>
      </c>
      <c r="E250" s="1" t="n">
        <v>46316</v>
      </c>
      <c r="F250" t="inlineStr">
        <is>
          <t>VÄRMLANDS LÄN</t>
        </is>
      </c>
      <c r="G250" t="inlineStr">
        <is>
          <t>SÄFFLE</t>
        </is>
      </c>
      <c r="H250" t="inlineStr">
        <is>
          <t>Kyrkan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46046</v>
      </c>
      <c r="E251" s="1" t="n">
        <v>46316</v>
      </c>
      <c r="F251" t="inlineStr">
        <is>
          <t>VÄRMLANDS LÄN</t>
        </is>
      </c>
      <c r="G251" t="inlineStr">
        <is>
          <t>SÄFFLE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46046</v>
      </c>
      <c r="E252" s="1" t="n">
        <v>46316</v>
      </c>
      <c r="F252" t="inlineStr">
        <is>
          <t>VÄRMLANDS LÄN</t>
        </is>
      </c>
      <c r="G252" t="inlineStr">
        <is>
          <t>SÄFFLE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46316</v>
      </c>
      <c r="F253" t="inlineStr">
        <is>
          <t>VÄRMLANDS LÄN</t>
        </is>
      </c>
      <c r="G253" t="inlineStr">
        <is>
          <t>SÄFFLE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45460</v>
      </c>
      <c r="E254" s="1" t="n">
        <v>46316</v>
      </c>
      <c r="F254" t="inlineStr">
        <is>
          <t>VÄRMLANDS LÄN</t>
        </is>
      </c>
      <c r="G254" t="inlineStr">
        <is>
          <t>SÄFFLE</t>
        </is>
      </c>
      <c r="I254" t="n">
        <v>49.7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46316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46316</v>
      </c>
      <c r="F256" t="inlineStr">
        <is>
          <t>VÄRMLANDS LÄN</t>
        </is>
      </c>
      <c r="G256" t="inlineStr">
        <is>
          <t>SÄFFLE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46316</v>
      </c>
      <c r="F257" t="inlineStr">
        <is>
          <t>VÄRMLANDS LÄN</t>
        </is>
      </c>
      <c r="G257" t="inlineStr">
        <is>
          <t>SÄFFLE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46316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46316</v>
      </c>
      <c r="F259" t="inlineStr">
        <is>
          <t>VÄRMLANDS LÄN</t>
        </is>
      </c>
      <c r="G259" t="inlineStr">
        <is>
          <t>SÄFFLE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55088-2022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46316</v>
      </c>
      <c r="F260" t="inlineStr">
        <is>
          <t>VÄRMLANDS LÄN</t>
        </is>
      </c>
      <c r="G260" t="inlineStr">
        <is>
          <t>SÄFFLE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46316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46316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46391-2025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45925</v>
      </c>
      <c r="E263" s="1" t="n">
        <v>46316</v>
      </c>
      <c r="F263" t="inlineStr">
        <is>
          <t>VÄRMLANDS LÄN</t>
        </is>
      </c>
      <c r="G263" t="inlineStr">
        <is>
          <t>SÄFFLE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46316</v>
      </c>
      <c r="F264" t="inlineStr">
        <is>
          <t>VÄRMLANDS LÄN</t>
        </is>
      </c>
      <c r="G264" t="inlineStr">
        <is>
          <t>SÄFFLE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44504-2023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46316</v>
      </c>
      <c r="F265" t="inlineStr">
        <is>
          <t>VÄRMLANDS LÄN</t>
        </is>
      </c>
      <c r="G265" t="inlineStr">
        <is>
          <t>SÄFFLE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46316</v>
      </c>
      <c r="F266" t="inlineStr">
        <is>
          <t>VÄRMLANDS LÄN</t>
        </is>
      </c>
      <c r="G266" t="inlineStr">
        <is>
          <t>SÄFFLE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45516</v>
      </c>
      <c r="E267" s="1" t="n">
        <v>46316</v>
      </c>
      <c r="F267" t="inlineStr">
        <is>
          <t>VÄRMLANDS LÄN</t>
        </is>
      </c>
      <c r="G267" t="inlineStr">
        <is>
          <t>SÄFFLE</t>
        </is>
      </c>
      <c r="I267" t="n">
        <v>10.2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46316</v>
      </c>
      <c r="F268" t="inlineStr">
        <is>
          <t>VÄRMLANDS LÄN</t>
        </is>
      </c>
      <c r="G268" t="inlineStr">
        <is>
          <t>SÄFFLE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46316</v>
      </c>
      <c r="F269" t="inlineStr">
        <is>
          <t>VÄRMLANDS LÄN</t>
        </is>
      </c>
      <c r="G269" t="inlineStr">
        <is>
          <t>SÄFFLE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46316</v>
      </c>
      <c r="F270" t="inlineStr">
        <is>
          <t>VÄRMLANDS LÄN</t>
        </is>
      </c>
      <c r="G270" t="inlineStr">
        <is>
          <t>SÄFFLE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46316</v>
      </c>
      <c r="F271" t="inlineStr">
        <is>
          <t>VÄRMLANDS LÄN</t>
        </is>
      </c>
      <c r="G271" t="inlineStr">
        <is>
          <t>SÄFFLE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46316</v>
      </c>
      <c r="F272" t="inlineStr">
        <is>
          <t>VÄRMLANDS LÄN</t>
        </is>
      </c>
      <c r="G272" t="inlineStr">
        <is>
          <t>SÄFFLE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46316</v>
      </c>
      <c r="F273" t="inlineStr">
        <is>
          <t>VÄRMLANDS LÄN</t>
        </is>
      </c>
      <c r="G273" t="inlineStr">
        <is>
          <t>SÄFFLE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40630-2022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44823</v>
      </c>
      <c r="E274" s="1" t="n">
        <v>46316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46316</v>
      </c>
      <c r="F275" t="inlineStr">
        <is>
          <t>VÄRMLANDS LÄN</t>
        </is>
      </c>
      <c r="G275" t="inlineStr">
        <is>
          <t>SÄFFLE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45711</v>
      </c>
      <c r="E276" s="1" t="n">
        <v>46316</v>
      </c>
      <c r="F276" t="inlineStr">
        <is>
          <t>VÄRMLANDS LÄN</t>
        </is>
      </c>
      <c r="G276" t="inlineStr">
        <is>
          <t>SÄFFLE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46316</v>
      </c>
      <c r="F277" t="inlineStr">
        <is>
          <t>VÄRMLANDS LÄN</t>
        </is>
      </c>
      <c r="G277" t="inlineStr">
        <is>
          <t>SÄFFLE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44924</v>
      </c>
      <c r="E278" s="1" t="n">
        <v>46316</v>
      </c>
      <c r="F278" t="inlineStr">
        <is>
          <t>VÄRMLANDS LÄN</t>
        </is>
      </c>
      <c r="G278" t="inlineStr">
        <is>
          <t>SÄFFLE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9846-2026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46316</v>
      </c>
      <c r="F279" t="inlineStr">
        <is>
          <t>VÄRMLANDS LÄN</t>
        </is>
      </c>
      <c r="G279" t="inlineStr">
        <is>
          <t>SÄFFLE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46316</v>
      </c>
      <c r="F280" t="inlineStr">
        <is>
          <t>VÄRMLANDS LÄN</t>
        </is>
      </c>
      <c r="G280" t="inlineStr">
        <is>
          <t>SÄFFLE</t>
        </is>
      </c>
      <c r="I280" t="n">
        <v>12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59224-2021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44490</v>
      </c>
      <c r="E281" s="1" t="n">
        <v>46316</v>
      </c>
      <c r="F281" t="inlineStr">
        <is>
          <t>VÄRMLANDS LÄN</t>
        </is>
      </c>
      <c r="G281" t="inlineStr">
        <is>
          <t>SÄFFLE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46078</v>
      </c>
      <c r="E282" s="1" t="n">
        <v>46316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46316</v>
      </c>
      <c r="F283" t="inlineStr">
        <is>
          <t>VÄRMLANDS LÄN</t>
        </is>
      </c>
      <c r="G283" t="inlineStr">
        <is>
          <t>SÄFFLE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49117-2025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46316</v>
      </c>
      <c r="F284" t="inlineStr">
        <is>
          <t>VÄRMLANDS LÄN</t>
        </is>
      </c>
      <c r="G284" t="inlineStr">
        <is>
          <t>SÄFFLE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46316</v>
      </c>
      <c r="F285" t="inlineStr">
        <is>
          <t>VÄRMLANDS LÄN</t>
        </is>
      </c>
      <c r="G285" t="inlineStr">
        <is>
          <t>SÄFFLE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46316</v>
      </c>
      <c r="F286" t="inlineStr">
        <is>
          <t>VÄRMLANDS LÄN</t>
        </is>
      </c>
      <c r="G286" t="inlineStr">
        <is>
          <t>SÄFFLE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46316</v>
      </c>
      <c r="F287" t="inlineStr">
        <is>
          <t>VÄRMLANDS LÄN</t>
        </is>
      </c>
      <c r="G287" t="inlineStr">
        <is>
          <t>SÄFFLE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46316</v>
      </c>
      <c r="F288" t="inlineStr">
        <is>
          <t>VÄRMLANDS LÄN</t>
        </is>
      </c>
      <c r="G288" t="inlineStr">
        <is>
          <t>SÄFFLE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46316</v>
      </c>
      <c r="F289" t="inlineStr">
        <is>
          <t>VÄRMLANDS LÄN</t>
        </is>
      </c>
      <c r="G289" t="inlineStr">
        <is>
          <t>SÄFFLE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46316</v>
      </c>
      <c r="F290" t="inlineStr">
        <is>
          <t>VÄRMLANDS LÄN</t>
        </is>
      </c>
      <c r="G290" t="inlineStr">
        <is>
          <t>SÄFFLE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46316</v>
      </c>
      <c r="F291" t="inlineStr">
        <is>
          <t>VÄRMLANDS LÄN</t>
        </is>
      </c>
      <c r="G291" t="inlineStr">
        <is>
          <t>SÄFFLE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46316</v>
      </c>
      <c r="F292" t="inlineStr">
        <is>
          <t>VÄRMLANDS LÄN</t>
        </is>
      </c>
      <c r="G292" t="inlineStr">
        <is>
          <t>SÄFFLE</t>
        </is>
      </c>
      <c r="I292" t="n">
        <v>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46316</v>
      </c>
      <c r="F293" t="inlineStr">
        <is>
          <t>VÄRMLANDS LÄN</t>
        </is>
      </c>
      <c r="G293" t="inlineStr">
        <is>
          <t>SÄFFLE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46083</v>
      </c>
      <c r="E294" s="1" t="n">
        <v>46316</v>
      </c>
      <c r="F294" t="inlineStr">
        <is>
          <t>VÄRMLANDS LÄN</t>
        </is>
      </c>
      <c r="G294" t="inlineStr">
        <is>
          <t>SÄFFLE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44853</v>
      </c>
      <c r="E295" s="1" t="n">
        <v>46316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12187-2026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46086</v>
      </c>
      <c r="E296" s="1" t="n">
        <v>46316</v>
      </c>
      <c r="F296" t="inlineStr">
        <is>
          <t>VÄRMLANDS LÄN</t>
        </is>
      </c>
      <c r="G296" t="inlineStr">
        <is>
          <t>SÄFFLE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46316</v>
      </c>
      <c r="F297" t="inlineStr">
        <is>
          <t>VÄRMLANDS LÄN</t>
        </is>
      </c>
      <c r="G297" t="inlineStr">
        <is>
          <t>SÄFFLE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46316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44635</v>
      </c>
      <c r="E299" s="1" t="n">
        <v>46316</v>
      </c>
      <c r="F299" t="inlineStr">
        <is>
          <t>VÄRMLANDS LÄN</t>
        </is>
      </c>
      <c r="G299" t="inlineStr">
        <is>
          <t>SÄFFLE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46316</v>
      </c>
      <c r="F300" t="inlineStr">
        <is>
          <t>VÄRMLANDS LÄN</t>
        </is>
      </c>
      <c r="G300" t="inlineStr">
        <is>
          <t>SÄFFLE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46316</v>
      </c>
      <c r="F301" t="inlineStr">
        <is>
          <t>VÄRMLANDS LÄN</t>
        </is>
      </c>
      <c r="G301" t="inlineStr">
        <is>
          <t>SÄFFLE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46316</v>
      </c>
      <c r="F302" t="inlineStr">
        <is>
          <t>VÄRMLANDS LÄN</t>
        </is>
      </c>
      <c r="G302" t="inlineStr">
        <is>
          <t>SÄFFLE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45946</v>
      </c>
      <c r="E303" s="1" t="n">
        <v>46316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46316</v>
      </c>
      <c r="F304" t="inlineStr">
        <is>
          <t>VÄRMLANDS LÄN</t>
        </is>
      </c>
      <c r="G304" t="inlineStr">
        <is>
          <t>SÄFFLE</t>
        </is>
      </c>
      <c r="I304" t="n">
        <v>12.7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46316</v>
      </c>
      <c r="F305" t="inlineStr">
        <is>
          <t>VÄRMLANDS LÄN</t>
        </is>
      </c>
      <c r="G305" t="inlineStr">
        <is>
          <t>SÄFFLE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46316</v>
      </c>
      <c r="F306" t="inlineStr">
        <is>
          <t>VÄRMLANDS LÄN</t>
        </is>
      </c>
      <c r="G306" t="inlineStr">
        <is>
          <t>SÄFFLE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45659</v>
      </c>
      <c r="E307" s="1" t="n">
        <v>46316</v>
      </c>
      <c r="F307" t="inlineStr">
        <is>
          <t>VÄRMLANDS LÄN</t>
        </is>
      </c>
      <c r="G307" t="inlineStr">
        <is>
          <t>SÄFFLE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46316</v>
      </c>
      <c r="F308" t="inlineStr">
        <is>
          <t>VÄRMLANDS LÄN</t>
        </is>
      </c>
      <c r="G308" t="inlineStr">
        <is>
          <t>SÄFFLE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46316</v>
      </c>
      <c r="F309" t="inlineStr">
        <is>
          <t>VÄRMLANDS LÄN</t>
        </is>
      </c>
      <c r="G309" t="inlineStr">
        <is>
          <t>SÄFFLE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51269-2025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45949</v>
      </c>
      <c r="E310" s="1" t="n">
        <v>46316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45082</v>
      </c>
      <c r="E311" s="1" t="n">
        <v>46316</v>
      </c>
      <c r="F311" t="inlineStr">
        <is>
          <t>VÄRMLANDS LÄN</t>
        </is>
      </c>
      <c r="G311" t="inlineStr">
        <is>
          <t>SÄFFLE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46316</v>
      </c>
      <c r="F312" t="inlineStr">
        <is>
          <t>VÄRMLANDS LÄN</t>
        </is>
      </c>
      <c r="G312" t="inlineStr">
        <is>
          <t>SÄFFLE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46316</v>
      </c>
      <c r="F313" t="inlineStr">
        <is>
          <t>VÄRMLANDS LÄN</t>
        </is>
      </c>
      <c r="G313" t="inlineStr">
        <is>
          <t>SÄFFLE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46316</v>
      </c>
      <c r="F314" t="inlineStr">
        <is>
          <t>VÄRMLANDS LÄN</t>
        </is>
      </c>
      <c r="G314" t="inlineStr">
        <is>
          <t>SÄFFLE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46316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27231-2024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45471</v>
      </c>
      <c r="E316" s="1" t="n">
        <v>46316</v>
      </c>
      <c r="F316" t="inlineStr">
        <is>
          <t>VÄRMLANDS LÄN</t>
        </is>
      </c>
      <c r="G316" t="inlineStr">
        <is>
          <t>SÄFFLE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45471</v>
      </c>
      <c r="E317" s="1" t="n">
        <v>46316</v>
      </c>
      <c r="F317" t="inlineStr">
        <is>
          <t>VÄRMLANDS LÄN</t>
        </is>
      </c>
      <c r="G317" t="inlineStr">
        <is>
          <t>SÄFFLE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45411</v>
      </c>
      <c r="E318" s="1" t="n">
        <v>46316</v>
      </c>
      <c r="F318" t="inlineStr">
        <is>
          <t>VÄRMLANDS LÄN</t>
        </is>
      </c>
      <c r="G318" t="inlineStr">
        <is>
          <t>SÄFFLE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46316</v>
      </c>
      <c r="F319" t="inlineStr">
        <is>
          <t>VÄRMLANDS LÄN</t>
        </is>
      </c>
      <c r="G319" t="inlineStr">
        <is>
          <t>SÄFFLE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46316</v>
      </c>
      <c r="F320" t="inlineStr">
        <is>
          <t>VÄRMLANDS LÄN</t>
        </is>
      </c>
      <c r="G320" t="inlineStr">
        <is>
          <t>SÄFFLE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46316</v>
      </c>
      <c r="F321" t="inlineStr">
        <is>
          <t>VÄRMLANDS LÄN</t>
        </is>
      </c>
      <c r="G321" t="inlineStr">
        <is>
          <t>SÄFFLE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15632-2024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45403</v>
      </c>
      <c r="E322" s="1" t="n">
        <v>46316</v>
      </c>
      <c r="F322" t="inlineStr">
        <is>
          <t>VÄRMLANDS LÄN</t>
        </is>
      </c>
      <c r="G322" t="inlineStr">
        <is>
          <t>SÄFFLE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46316</v>
      </c>
      <c r="F323" t="inlineStr">
        <is>
          <t>VÄRMLANDS LÄN</t>
        </is>
      </c>
      <c r="G323" t="inlineStr">
        <is>
          <t>SÄFFLE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59312-2023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45253</v>
      </c>
      <c r="E324" s="1" t="n">
        <v>46316</v>
      </c>
      <c r="F324" t="inlineStr">
        <is>
          <t>VÄRMLANDS LÄN</t>
        </is>
      </c>
      <c r="G324" t="inlineStr">
        <is>
          <t>SÄFFLE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44896</v>
      </c>
      <c r="E325" s="1" t="n">
        <v>46316</v>
      </c>
      <c r="F325" t="inlineStr">
        <is>
          <t>VÄRMLANDS LÄN</t>
        </is>
      </c>
      <c r="G325" t="inlineStr">
        <is>
          <t>SÄFFLE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44976</v>
      </c>
      <c r="E326" s="1" t="n">
        <v>46316</v>
      </c>
      <c r="F326" t="inlineStr">
        <is>
          <t>VÄRMLANDS LÄN</t>
        </is>
      </c>
      <c r="G326" t="inlineStr">
        <is>
          <t>SÄFFLE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46316</v>
      </c>
      <c r="F327" t="inlineStr">
        <is>
          <t>VÄRMLANDS LÄN</t>
        </is>
      </c>
      <c r="G327" t="inlineStr">
        <is>
          <t>SÄFFLE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46316</v>
      </c>
      <c r="F328" t="inlineStr">
        <is>
          <t>VÄRMLANDS LÄN</t>
        </is>
      </c>
      <c r="G328" t="inlineStr">
        <is>
          <t>SÄFFLE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44608</v>
      </c>
      <c r="E329" s="1" t="n">
        <v>46316</v>
      </c>
      <c r="F329" t="inlineStr">
        <is>
          <t>VÄRMLANDS LÄN</t>
        </is>
      </c>
      <c r="G329" t="inlineStr">
        <is>
          <t>SÄFFLE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8058-2022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44609</v>
      </c>
      <c r="E330" s="1" t="n">
        <v>46316</v>
      </c>
      <c r="F330" t="inlineStr">
        <is>
          <t>VÄRMLANDS LÄN</t>
        </is>
      </c>
      <c r="G330" t="inlineStr">
        <is>
          <t>SÄFFLE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46316</v>
      </c>
      <c r="F331" t="inlineStr">
        <is>
          <t>VÄRMLANDS LÄN</t>
        </is>
      </c>
      <c r="G331" t="inlineStr">
        <is>
          <t>SÄFFLE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46316</v>
      </c>
      <c r="F332" t="inlineStr">
        <is>
          <t>VÄRMLANDS LÄN</t>
        </is>
      </c>
      <c r="G332" t="inlineStr">
        <is>
          <t>SÄFFLE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46316</v>
      </c>
      <c r="F333" t="inlineStr">
        <is>
          <t>VÄRMLANDS LÄN</t>
        </is>
      </c>
      <c r="G333" t="inlineStr">
        <is>
          <t>SÄFFLE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46101</v>
      </c>
      <c r="E334" s="1" t="n">
        <v>46316</v>
      </c>
      <c r="F334" t="inlineStr">
        <is>
          <t>VÄRMLANDS LÄN</t>
        </is>
      </c>
      <c r="G334" t="inlineStr">
        <is>
          <t>SÄFFLE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46316</v>
      </c>
      <c r="F335" t="inlineStr">
        <is>
          <t>VÄRMLANDS LÄN</t>
        </is>
      </c>
      <c r="G335" t="inlineStr">
        <is>
          <t>SÄFFLE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45667</v>
      </c>
      <c r="E336" s="1" t="n">
        <v>46316</v>
      </c>
      <c r="F336" t="inlineStr">
        <is>
          <t>VÄRMLANDS LÄN</t>
        </is>
      </c>
      <c r="G336" t="inlineStr">
        <is>
          <t>SÄFFLE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45667</v>
      </c>
      <c r="E337" s="1" t="n">
        <v>46316</v>
      </c>
      <c r="F337" t="inlineStr">
        <is>
          <t>VÄRMLANDS LÄN</t>
        </is>
      </c>
      <c r="G337" t="inlineStr">
        <is>
          <t>SÄFFLE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46316</v>
      </c>
      <c r="F338" t="inlineStr">
        <is>
          <t>VÄRMLANDS LÄN</t>
        </is>
      </c>
      <c r="G338" t="inlineStr">
        <is>
          <t>SÄFFLE</t>
        </is>
      </c>
      <c r="H338" t="inlineStr">
        <is>
          <t>Kommuner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14994-2026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46104</v>
      </c>
      <c r="E339" s="1" t="n">
        <v>46316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44587</v>
      </c>
      <c r="E340" s="1" t="n">
        <v>46316</v>
      </c>
      <c r="F340" t="inlineStr">
        <is>
          <t>VÄRMLANDS LÄN</t>
        </is>
      </c>
      <c r="G340" t="inlineStr">
        <is>
          <t>SÄFFLE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44564</v>
      </c>
      <c r="E341" s="1" t="n">
        <v>46316</v>
      </c>
      <c r="F341" t="inlineStr">
        <is>
          <t>VÄRMLANDS LÄN</t>
        </is>
      </c>
      <c r="G341" t="inlineStr">
        <is>
          <t>SÄFFLE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15668-2026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46316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53888-2025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45961</v>
      </c>
      <c r="E343" s="1" t="n">
        <v>46316</v>
      </c>
      <c r="F343" t="inlineStr">
        <is>
          <t>VÄRMLANDS LÄN</t>
        </is>
      </c>
      <c r="G343" t="inlineStr">
        <is>
          <t>SÄFFLE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46316</v>
      </c>
      <c r="F344" t="inlineStr">
        <is>
          <t>VÄRMLANDS LÄN</t>
        </is>
      </c>
      <c r="G344" t="inlineStr">
        <is>
          <t>SÄFFLE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31245-2025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45832</v>
      </c>
      <c r="E345" s="1" t="n">
        <v>46316</v>
      </c>
      <c r="F345" t="inlineStr">
        <is>
          <t>VÄRMLANDS LÄN</t>
        </is>
      </c>
      <c r="G345" t="inlineStr">
        <is>
          <t>SÄFFLE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16066-2026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46316</v>
      </c>
      <c r="F346" t="inlineStr">
        <is>
          <t>VÄRMLANDS LÄN</t>
        </is>
      </c>
      <c r="G346" t="inlineStr">
        <is>
          <t>SÄFFLE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44734</v>
      </c>
      <c r="E347" s="1" t="n">
        <v>46316</v>
      </c>
      <c r="F347" t="inlineStr">
        <is>
          <t>VÄRMLANDS LÄN</t>
        </is>
      </c>
      <c r="G347" t="inlineStr">
        <is>
          <t>SÄFFLE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44629</v>
      </c>
      <c r="E348" s="1" t="n">
        <v>46316</v>
      </c>
      <c r="F348" t="inlineStr">
        <is>
          <t>VÄRMLANDS LÄN</t>
        </is>
      </c>
      <c r="G348" t="inlineStr">
        <is>
          <t>SÄFFLE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46316</v>
      </c>
      <c r="F349" t="inlineStr">
        <is>
          <t>VÄRMLANDS LÄN</t>
        </is>
      </c>
      <c r="G349" t="inlineStr">
        <is>
          <t>SÄFFLE</t>
        </is>
      </c>
      <c r="H349" t="inlineStr">
        <is>
          <t>Kommuner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44993</v>
      </c>
      <c r="E350" s="1" t="n">
        <v>46316</v>
      </c>
      <c r="F350" t="inlineStr">
        <is>
          <t>VÄRMLANDS LÄN</t>
        </is>
      </c>
      <c r="G350" t="inlineStr">
        <is>
          <t>SÄFFLE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46316</v>
      </c>
      <c r="F351" t="inlineStr">
        <is>
          <t>VÄRMLANDS LÄN</t>
        </is>
      </c>
      <c r="G351" t="inlineStr">
        <is>
          <t>SÄFFLE</t>
        </is>
      </c>
      <c r="H351" t="inlineStr">
        <is>
          <t>Kommuner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46316</v>
      </c>
      <c r="F352" t="inlineStr">
        <is>
          <t>VÄRMLANDS LÄN</t>
        </is>
      </c>
      <c r="G352" t="inlineStr">
        <is>
          <t>SÄFFLE</t>
        </is>
      </c>
      <c r="H352" t="inlineStr">
        <is>
          <t>Kyrkan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45212</v>
      </c>
      <c r="E353" s="1" t="n">
        <v>46316</v>
      </c>
      <c r="F353" t="inlineStr">
        <is>
          <t>VÄRMLANDS LÄN</t>
        </is>
      </c>
      <c r="G353" t="inlineStr">
        <is>
          <t>SÄFFLE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52174-2024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46316</v>
      </c>
      <c r="F354" t="inlineStr">
        <is>
          <t>VÄRMLANDS LÄN</t>
        </is>
      </c>
      <c r="G354" t="inlineStr">
        <is>
          <t>SÄFFLE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44509</v>
      </c>
      <c r="E355" s="1" t="n">
        <v>46316</v>
      </c>
      <c r="F355" t="inlineStr">
        <is>
          <t>VÄRMLANDS LÄN</t>
        </is>
      </c>
      <c r="G355" t="inlineStr">
        <is>
          <t>SÄFFLE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46316</v>
      </c>
      <c r="F356" t="inlineStr">
        <is>
          <t>VÄRMLANDS LÄN</t>
        </is>
      </c>
      <c r="G356" t="inlineStr">
        <is>
          <t>SÄFFLE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17258-2026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46119</v>
      </c>
      <c r="E357" s="1" t="n">
        <v>46316</v>
      </c>
      <c r="F357" t="inlineStr">
        <is>
          <t>VÄRMLANDS LÄN</t>
        </is>
      </c>
      <c r="G357" t="inlineStr">
        <is>
          <t>SÄFFLE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46316</v>
      </c>
      <c r="F358" t="inlineStr">
        <is>
          <t>VÄRMLANDS LÄN</t>
        </is>
      </c>
      <c r="G358" t="inlineStr">
        <is>
          <t>SÄFFLE</t>
        </is>
      </c>
      <c r="H358" t="inlineStr">
        <is>
          <t>Kommuner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46122</v>
      </c>
      <c r="E359" s="1" t="n">
        <v>46316</v>
      </c>
      <c r="F359" t="inlineStr">
        <is>
          <t>VÄRMLANDS LÄN</t>
        </is>
      </c>
      <c r="G359" t="inlineStr">
        <is>
          <t>SÄFFLE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46316</v>
      </c>
      <c r="F360" t="inlineStr">
        <is>
          <t>VÄRMLANDS LÄN</t>
        </is>
      </c>
      <c r="G360" t="inlineStr">
        <is>
          <t>SÄFFLE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46316</v>
      </c>
      <c r="F361" t="inlineStr">
        <is>
          <t>VÄRMLANDS LÄN</t>
        </is>
      </c>
      <c r="G361" t="inlineStr">
        <is>
          <t>SÄFFLE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56684-2025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45975</v>
      </c>
      <c r="E362" s="1" t="n">
        <v>46316</v>
      </c>
      <c r="F362" t="inlineStr">
        <is>
          <t>VÄRMLANDS LÄN</t>
        </is>
      </c>
      <c r="G362" t="inlineStr">
        <is>
          <t>SÄFFLE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45107</v>
      </c>
      <c r="E363" s="1" t="n">
        <v>46316</v>
      </c>
      <c r="F363" t="inlineStr">
        <is>
          <t>VÄRMLANDS LÄN</t>
        </is>
      </c>
      <c r="G363" t="inlineStr">
        <is>
          <t>SÄFFLE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45977</v>
      </c>
      <c r="E364" s="1" t="n">
        <v>46316</v>
      </c>
      <c r="F364" t="inlineStr">
        <is>
          <t>VÄRMLANDS LÄN</t>
        </is>
      </c>
      <c r="G364" t="inlineStr">
        <is>
          <t>SÄFFLE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46316</v>
      </c>
      <c r="F365" t="inlineStr">
        <is>
          <t>VÄRMLANDS LÄN</t>
        </is>
      </c>
      <c r="G365" t="inlineStr">
        <is>
          <t>SÄFFLE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46316</v>
      </c>
      <c r="F366" t="inlineStr">
        <is>
          <t>VÄRMLANDS LÄN</t>
        </is>
      </c>
      <c r="G366" t="inlineStr">
        <is>
          <t>SÄFFLE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46316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46316</v>
      </c>
      <c r="F368" t="inlineStr">
        <is>
          <t>VÄRMLANDS LÄN</t>
        </is>
      </c>
      <c r="G368" t="inlineStr">
        <is>
          <t>SÄFFLE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45982</v>
      </c>
      <c r="E369" s="1" t="n">
        <v>46316</v>
      </c>
      <c r="F369" t="inlineStr">
        <is>
          <t>VÄRMLANDS LÄN</t>
        </is>
      </c>
      <c r="G369" t="inlineStr">
        <is>
          <t>SÄFFLE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46316</v>
      </c>
      <c r="F370" t="inlineStr">
        <is>
          <t>VÄRMLANDS LÄN</t>
        </is>
      </c>
      <c r="G370" t="inlineStr">
        <is>
          <t>SÄFFLE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73157-2021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44550</v>
      </c>
      <c r="E371" s="1" t="n">
        <v>46316</v>
      </c>
      <c r="F371" t="inlineStr">
        <is>
          <t>VÄRMLANDS LÄN</t>
        </is>
      </c>
      <c r="G371" t="inlineStr">
        <is>
          <t>SÄFFLE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45983</v>
      </c>
      <c r="E372" s="1" t="n">
        <v>46316</v>
      </c>
      <c r="F372" t="inlineStr">
        <is>
          <t>VÄRMLANDS LÄN</t>
        </is>
      </c>
      <c r="G372" t="inlineStr">
        <is>
          <t>SÄFFLE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46316</v>
      </c>
      <c r="F373" t="inlineStr">
        <is>
          <t>VÄRMLANDS LÄN</t>
        </is>
      </c>
      <c r="G373" t="inlineStr">
        <is>
          <t>SÄFFLE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46316</v>
      </c>
      <c r="F374" t="inlineStr">
        <is>
          <t>VÄRMLANDS LÄN</t>
        </is>
      </c>
      <c r="G374" t="inlineStr">
        <is>
          <t>SÄFFLE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46316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45387</v>
      </c>
      <c r="E376" s="1" t="n">
        <v>46316</v>
      </c>
      <c r="F376" t="inlineStr">
        <is>
          <t>VÄRMLANDS LÄN</t>
        </is>
      </c>
      <c r="G376" t="inlineStr">
        <is>
          <t>SÄFFLE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45779</v>
      </c>
      <c r="E377" s="1" t="n">
        <v>46316</v>
      </c>
      <c r="F377" t="inlineStr">
        <is>
          <t>VÄRMLANDS LÄN</t>
        </is>
      </c>
      <c r="G377" t="inlineStr">
        <is>
          <t>SÄFFLE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67174-2021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44523</v>
      </c>
      <c r="E378" s="1" t="n">
        <v>46316</v>
      </c>
      <c r="F378" t="inlineStr">
        <is>
          <t>VÄRMLANDS LÄN</t>
        </is>
      </c>
      <c r="G378" t="inlineStr">
        <is>
          <t>SÄFFLE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46316</v>
      </c>
      <c r="F379" t="inlineStr">
        <is>
          <t>VÄRMLANDS LÄN</t>
        </is>
      </c>
      <c r="G379" t="inlineStr">
        <is>
          <t>SÄFFLE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45685</v>
      </c>
      <c r="E380" s="1" t="n">
        <v>46316</v>
      </c>
      <c r="F380" t="inlineStr">
        <is>
          <t>VÄRMLANDS LÄN</t>
        </is>
      </c>
      <c r="G380" t="inlineStr">
        <is>
          <t>SÄFFLE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46316</v>
      </c>
      <c r="F381" t="inlineStr">
        <is>
          <t>VÄRMLANDS LÄN</t>
        </is>
      </c>
      <c r="G381" t="inlineStr">
        <is>
          <t>SÄFFLE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46316</v>
      </c>
      <c r="F382" t="inlineStr">
        <is>
          <t>VÄRMLANDS LÄN</t>
        </is>
      </c>
      <c r="G382" t="inlineStr">
        <is>
          <t>SÄFFLE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46316</v>
      </c>
      <c r="F383" t="inlineStr">
        <is>
          <t>VÄRMLANDS LÄN</t>
        </is>
      </c>
      <c r="G383" t="inlineStr">
        <is>
          <t>SÄFFLE</t>
        </is>
      </c>
      <c r="I383" t="n">
        <v>11.4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46316</v>
      </c>
      <c r="F384" t="inlineStr">
        <is>
          <t>VÄRMLANDS LÄN</t>
        </is>
      </c>
      <c r="G384" t="inlineStr">
        <is>
          <t>SÄFFLE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46316</v>
      </c>
      <c r="F385" t="inlineStr">
        <is>
          <t>VÄRMLANDS LÄN</t>
        </is>
      </c>
      <c r="G385" t="inlineStr">
        <is>
          <t>SÄFFLE</t>
        </is>
      </c>
      <c r="I385" t="n">
        <v>7.2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46316</v>
      </c>
      <c r="F386" t="inlineStr">
        <is>
          <t>VÄRMLANDS LÄN</t>
        </is>
      </c>
      <c r="G386" t="inlineStr">
        <is>
          <t>SÄFFLE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46316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46316</v>
      </c>
      <c r="F388" t="inlineStr">
        <is>
          <t>VÄRMLANDS LÄN</t>
        </is>
      </c>
      <c r="G388" t="inlineStr">
        <is>
          <t>SÄFFLE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9261-2024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45358</v>
      </c>
      <c r="E389" s="1" t="n">
        <v>46316</v>
      </c>
      <c r="F389" t="inlineStr">
        <is>
          <t>VÄRMLANDS LÄN</t>
        </is>
      </c>
      <c r="G389" t="inlineStr">
        <is>
          <t>SÄFFLE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46316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46316</v>
      </c>
      <c r="F391" t="inlineStr">
        <is>
          <t>VÄRMLANDS LÄN</t>
        </is>
      </c>
      <c r="G391" t="inlineStr">
        <is>
          <t>SÄFFLE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44879</v>
      </c>
      <c r="E392" s="1" t="n">
        <v>46316</v>
      </c>
      <c r="F392" t="inlineStr">
        <is>
          <t>VÄRMLANDS LÄN</t>
        </is>
      </c>
      <c r="G392" t="inlineStr">
        <is>
          <t>SÄFFLE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46316</v>
      </c>
      <c r="F393" t="inlineStr">
        <is>
          <t>VÄRMLANDS LÄN</t>
        </is>
      </c>
      <c r="G393" t="inlineStr">
        <is>
          <t>SÄFFLE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31247-2025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45832</v>
      </c>
      <c r="E394" s="1" t="n">
        <v>46316</v>
      </c>
      <c r="F394" t="inlineStr">
        <is>
          <t>VÄRMLANDS LÄN</t>
        </is>
      </c>
      <c r="G394" t="inlineStr">
        <is>
          <t>SÄFFLE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45808</v>
      </c>
      <c r="E395" s="1" t="n">
        <v>46316</v>
      </c>
      <c r="F395" t="inlineStr">
        <is>
          <t>VÄRMLANDS LÄN</t>
        </is>
      </c>
      <c r="G395" t="inlineStr">
        <is>
          <t>SÄFFLE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45847</v>
      </c>
      <c r="E396" s="1" t="n">
        <v>46316</v>
      </c>
      <c r="F396" t="inlineStr">
        <is>
          <t>VÄRMLANDS LÄN</t>
        </is>
      </c>
      <c r="G396" t="inlineStr">
        <is>
          <t>SÄFFLE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45847</v>
      </c>
      <c r="E397" s="1" t="n">
        <v>46316</v>
      </c>
      <c r="F397" t="inlineStr">
        <is>
          <t>VÄRMLANDS LÄN</t>
        </is>
      </c>
      <c r="G397" t="inlineStr">
        <is>
          <t>SÄFFLE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45847</v>
      </c>
      <c r="E398" s="1" t="n">
        <v>46316</v>
      </c>
      <c r="F398" t="inlineStr">
        <is>
          <t>VÄRMLANDS LÄN</t>
        </is>
      </c>
      <c r="G398" t="inlineStr">
        <is>
          <t>SÄFFLE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45847</v>
      </c>
      <c r="E399" s="1" t="n">
        <v>46316</v>
      </c>
      <c r="F399" t="inlineStr">
        <is>
          <t>VÄRMLANDS LÄN</t>
        </is>
      </c>
      <c r="G399" t="inlineStr">
        <is>
          <t>SÄFFLE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45847</v>
      </c>
      <c r="E400" s="1" t="n">
        <v>46316</v>
      </c>
      <c r="F400" t="inlineStr">
        <is>
          <t>VÄRMLANDS LÄN</t>
        </is>
      </c>
      <c r="G400" t="inlineStr">
        <is>
          <t>SÄFFLE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45582</v>
      </c>
      <c r="E401" s="1" t="n">
        <v>46316</v>
      </c>
      <c r="F401" t="inlineStr">
        <is>
          <t>VÄRMLANDS LÄN</t>
        </is>
      </c>
      <c r="G401" t="inlineStr">
        <is>
          <t>SÄFFLE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46316</v>
      </c>
      <c r="F402" t="inlineStr">
        <is>
          <t>VÄRMLANDS LÄN</t>
        </is>
      </c>
      <c r="G402" t="inlineStr">
        <is>
          <t>SÄFFLE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46316</v>
      </c>
      <c r="F403" t="inlineStr">
        <is>
          <t>VÄRMLANDS LÄN</t>
        </is>
      </c>
      <c r="G403" t="inlineStr">
        <is>
          <t>SÄFFLE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46316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45807</v>
      </c>
      <c r="E405" s="1" t="n">
        <v>46316</v>
      </c>
      <c r="F405" t="inlineStr">
        <is>
          <t>VÄRMLANDS LÄN</t>
        </is>
      </c>
      <c r="G405" t="inlineStr">
        <is>
          <t>SÄFFLE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45807</v>
      </c>
      <c r="E406" s="1" t="n">
        <v>46316</v>
      </c>
      <c r="F406" t="inlineStr">
        <is>
          <t>VÄRMLANDS LÄN</t>
        </is>
      </c>
      <c r="G406" t="inlineStr">
        <is>
          <t>SÄFFLE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46316</v>
      </c>
      <c r="F407" t="inlineStr">
        <is>
          <t>VÄRMLANDS LÄN</t>
        </is>
      </c>
      <c r="G407" t="inlineStr">
        <is>
          <t>SÄFFLE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44572</v>
      </c>
      <c r="E408" s="1" t="n">
        <v>46316</v>
      </c>
      <c r="F408" t="inlineStr">
        <is>
          <t>VÄRMLANDS LÄN</t>
        </is>
      </c>
      <c r="G408" t="inlineStr">
        <is>
          <t>SÄFFLE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45995</v>
      </c>
      <c r="E409" s="1" t="n">
        <v>46316</v>
      </c>
      <c r="F409" t="inlineStr">
        <is>
          <t>VÄRMLANDS LÄN</t>
        </is>
      </c>
      <c r="G409" t="inlineStr">
        <is>
          <t>SÄFFLE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46316</v>
      </c>
      <c r="F410" t="inlineStr">
        <is>
          <t>VÄRMLANDS LÄN</t>
        </is>
      </c>
      <c r="G410" t="inlineStr">
        <is>
          <t>SÄFFLE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45874</v>
      </c>
      <c r="E411" s="1" t="n">
        <v>46316</v>
      </c>
      <c r="F411" t="inlineStr">
        <is>
          <t>VÄRMLANDS LÄN</t>
        </is>
      </c>
      <c r="G411" t="inlineStr">
        <is>
          <t>SÄFFLE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45932</v>
      </c>
      <c r="E412" s="1" t="n">
        <v>46316</v>
      </c>
      <c r="F412" t="inlineStr">
        <is>
          <t>VÄRMLANDS LÄN</t>
        </is>
      </c>
      <c r="G412" t="inlineStr">
        <is>
          <t>SÄFFLE</t>
        </is>
      </c>
      <c r="H412" t="inlineStr">
        <is>
          <t>Kyrkan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45729</v>
      </c>
      <c r="E413" s="1" t="n">
        <v>46316</v>
      </c>
      <c r="F413" t="inlineStr">
        <is>
          <t>VÄRMLANDS LÄN</t>
        </is>
      </c>
      <c r="G413" t="inlineStr">
        <is>
          <t>SÄFFLE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46316</v>
      </c>
      <c r="F414" t="inlineStr">
        <is>
          <t>VÄRMLANDS LÄN</t>
        </is>
      </c>
      <c r="G414" t="inlineStr">
        <is>
          <t>SÄFFLE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52424-2024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45609</v>
      </c>
      <c r="E415" s="1" t="n">
        <v>46316</v>
      </c>
      <c r="F415" t="inlineStr">
        <is>
          <t>VÄRMLANDS LÄN</t>
        </is>
      </c>
      <c r="G415" t="inlineStr">
        <is>
          <t>SÄFFLE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45148</v>
      </c>
      <c r="E416" s="1" t="n">
        <v>46316</v>
      </c>
      <c r="F416" t="inlineStr">
        <is>
          <t>VÄRMLANDS LÄN</t>
        </is>
      </c>
      <c r="G416" t="inlineStr">
        <is>
          <t>SÄFFLE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45735</v>
      </c>
      <c r="E417" s="1" t="n">
        <v>46316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45728</v>
      </c>
      <c r="E418" s="1" t="n">
        <v>46316</v>
      </c>
      <c r="F418" t="inlineStr">
        <is>
          <t>VÄRMLANDS LÄN</t>
        </is>
      </c>
      <c r="G418" t="inlineStr">
        <is>
          <t>SÄFFLE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45113</v>
      </c>
      <c r="E419" s="1" t="n">
        <v>46316</v>
      </c>
      <c r="F419" t="inlineStr">
        <is>
          <t>VÄRMLANDS LÄN</t>
        </is>
      </c>
      <c r="G419" t="inlineStr">
        <is>
          <t>SÄFFLE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46316</v>
      </c>
      <c r="F420" t="inlineStr">
        <is>
          <t>VÄRMLANDS LÄN</t>
        </is>
      </c>
      <c r="G420" t="inlineStr">
        <is>
          <t>SÄFFLE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60198-2022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44910</v>
      </c>
      <c r="E421" s="1" t="n">
        <v>46316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46316</v>
      </c>
      <c r="F422" t="inlineStr">
        <is>
          <t>VÄRMLANDS LÄN</t>
        </is>
      </c>
      <c r="G422" t="inlineStr">
        <is>
          <t>SÄFFLE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45932</v>
      </c>
      <c r="E423" s="1" t="n">
        <v>46316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10028-2023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44985</v>
      </c>
      <c r="E424" s="1" t="n">
        <v>46316</v>
      </c>
      <c r="F424" t="inlineStr">
        <is>
          <t>VÄRMLANDS LÄN</t>
        </is>
      </c>
      <c r="G424" t="inlineStr">
        <is>
          <t>SÄFFLE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46316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50076-2023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45208</v>
      </c>
      <c r="E426" s="1" t="n">
        <v>46316</v>
      </c>
      <c r="F426" t="inlineStr">
        <is>
          <t>VÄRMLANDS LÄN</t>
        </is>
      </c>
      <c r="G426" t="inlineStr">
        <is>
          <t>SÄFFLE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46316</v>
      </c>
      <c r="F427" t="inlineStr">
        <is>
          <t>VÄRMLANDS LÄN</t>
        </is>
      </c>
      <c r="G427" t="inlineStr">
        <is>
          <t>SÄFFLE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46316</v>
      </c>
      <c r="F428" t="inlineStr">
        <is>
          <t>VÄRMLANDS LÄN</t>
        </is>
      </c>
      <c r="G428" t="inlineStr">
        <is>
          <t>SÄFFLE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11633-2023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44994</v>
      </c>
      <c r="E429" s="1" t="n">
        <v>46316</v>
      </c>
      <c r="F429" t="inlineStr">
        <is>
          <t>VÄRMLANDS LÄN</t>
        </is>
      </c>
      <c r="G429" t="inlineStr">
        <is>
          <t>SÄFFLE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44762</v>
      </c>
      <c r="E430" s="1" t="n">
        <v>46316</v>
      </c>
      <c r="F430" t="inlineStr">
        <is>
          <t>VÄRMLANDS LÄN</t>
        </is>
      </c>
      <c r="G430" t="inlineStr">
        <is>
          <t>SÄFFLE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46316</v>
      </c>
      <c r="F431" t="inlineStr">
        <is>
          <t>VÄRMLANDS LÄN</t>
        </is>
      </c>
      <c r="G431" t="inlineStr">
        <is>
          <t>SÄFFLE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53788-2022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44880</v>
      </c>
      <c r="E432" s="1" t="n">
        <v>46316</v>
      </c>
      <c r="F432" t="inlineStr">
        <is>
          <t>VÄRMLANDS LÄN</t>
        </is>
      </c>
      <c r="G432" t="inlineStr">
        <is>
          <t>SÄFFLE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46316</v>
      </c>
      <c r="F433" t="inlineStr">
        <is>
          <t>VÄRMLANDS LÄN</t>
        </is>
      </c>
      <c r="G433" t="inlineStr">
        <is>
          <t>SÄFFLE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8746-2024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46316</v>
      </c>
      <c r="F434" t="inlineStr">
        <is>
          <t>VÄRMLANDS LÄN</t>
        </is>
      </c>
      <c r="G434" t="inlineStr">
        <is>
          <t>SÄFFLE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6959-2024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46316</v>
      </c>
      <c r="F435" t="inlineStr">
        <is>
          <t>VÄRMLANDS LÄN</t>
        </is>
      </c>
      <c r="G435" t="inlineStr">
        <is>
          <t>SÄFFLE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46316</v>
      </c>
      <c r="F436" t="inlineStr">
        <is>
          <t>VÄRMLANDS LÄN</t>
        </is>
      </c>
      <c r="G436" t="inlineStr">
        <is>
          <t>SÄFFLE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37710-2025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45880</v>
      </c>
      <c r="E437" s="1" t="n">
        <v>46316</v>
      </c>
      <c r="F437" t="inlineStr">
        <is>
          <t>VÄRMLANDS LÄN</t>
        </is>
      </c>
      <c r="G437" t="inlineStr">
        <is>
          <t>SÄFFLE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44499-2023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46316</v>
      </c>
      <c r="F438" t="inlineStr">
        <is>
          <t>VÄRMLANDS LÄN</t>
        </is>
      </c>
      <c r="G438" t="inlineStr">
        <is>
          <t>SÄFFLE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46316</v>
      </c>
      <c r="F439" t="inlineStr">
        <is>
          <t>VÄRMLANDS LÄN</t>
        </is>
      </c>
      <c r="G439" t="inlineStr">
        <is>
          <t>SÄFFLE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46316</v>
      </c>
      <c r="F440" t="inlineStr">
        <is>
          <t>VÄRMLANDS LÄN</t>
        </is>
      </c>
      <c r="G440" t="inlineStr">
        <is>
          <t>SÄFFLE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45711</v>
      </c>
      <c r="E441" s="1" t="n">
        <v>46316</v>
      </c>
      <c r="F441" t="inlineStr">
        <is>
          <t>VÄRMLANDS LÄN</t>
        </is>
      </c>
      <c r="G441" t="inlineStr">
        <is>
          <t>SÄFFLE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46316</v>
      </c>
      <c r="F442" t="inlineStr">
        <is>
          <t>VÄRMLANDS LÄN</t>
        </is>
      </c>
      <c r="G442" t="inlineStr">
        <is>
          <t>SÄFFLE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46316</v>
      </c>
      <c r="F443" t="inlineStr">
        <is>
          <t>VÄRMLANDS LÄN</t>
        </is>
      </c>
      <c r="G443" t="inlineStr">
        <is>
          <t>SÄFFLE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45931</v>
      </c>
      <c r="E444" s="1" t="n">
        <v>46316</v>
      </c>
      <c r="F444" t="inlineStr">
        <is>
          <t>VÄRMLANDS LÄN</t>
        </is>
      </c>
      <c r="G444" t="inlineStr">
        <is>
          <t>SÄFFLE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57153-2023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46316</v>
      </c>
      <c r="F445" t="inlineStr">
        <is>
          <t>VÄRMLANDS LÄN</t>
        </is>
      </c>
      <c r="G445" t="inlineStr">
        <is>
          <t>SÄFFLE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45481</v>
      </c>
      <c r="E446" s="1" t="n">
        <v>46316</v>
      </c>
      <c r="F446" t="inlineStr">
        <is>
          <t>VÄRMLANDS LÄN</t>
        </is>
      </c>
      <c r="G446" t="inlineStr">
        <is>
          <t>SÄFFLE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46316</v>
      </c>
      <c r="F447" t="inlineStr">
        <is>
          <t>VÄRMLANDS LÄN</t>
        </is>
      </c>
      <c r="G447" t="inlineStr">
        <is>
          <t>SÄFFLE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46316</v>
      </c>
      <c r="F448" t="inlineStr">
        <is>
          <t>VÄRMLANDS LÄN</t>
        </is>
      </c>
      <c r="G448" t="inlineStr">
        <is>
          <t>SÄFFLE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45871</v>
      </c>
      <c r="E449" s="1" t="n">
        <v>46316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45896</v>
      </c>
      <c r="E450" s="1" t="n">
        <v>46316</v>
      </c>
      <c r="F450" t="inlineStr">
        <is>
          <t>VÄRMLANDS LÄN</t>
        </is>
      </c>
      <c r="G450" t="inlineStr">
        <is>
          <t>SÄFFLE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37000-2025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45874</v>
      </c>
      <c r="E451" s="1" t="n">
        <v>46316</v>
      </c>
      <c r="F451" t="inlineStr">
        <is>
          <t>VÄRMLANDS LÄN</t>
        </is>
      </c>
      <c r="G451" t="inlineStr">
        <is>
          <t>SÄFFLE</t>
        </is>
      </c>
      <c r="I451" t="n">
        <v>15.2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25659-2023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45089</v>
      </c>
      <c r="E452" s="1" t="n">
        <v>46316</v>
      </c>
      <c r="F452" t="inlineStr">
        <is>
          <t>VÄRMLANDS LÄN</t>
        </is>
      </c>
      <c r="G452" t="inlineStr">
        <is>
          <t>SÄFFLE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46139</v>
      </c>
      <c r="E453" s="1" t="n">
        <v>46316</v>
      </c>
      <c r="F453" t="inlineStr">
        <is>
          <t>VÄRMLANDS LÄN</t>
        </is>
      </c>
      <c r="G453" t="inlineStr">
        <is>
          <t>SÄFFLE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45704</v>
      </c>
      <c r="E454" s="1" t="n">
        <v>46316</v>
      </c>
      <c r="F454" t="inlineStr">
        <is>
          <t>VÄRMLANDS LÄN</t>
        </is>
      </c>
      <c r="G454" t="inlineStr">
        <is>
          <t>SÄFFLE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45391</v>
      </c>
      <c r="E455" s="1" t="n">
        <v>46316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45820</v>
      </c>
      <c r="E456" s="1" t="n">
        <v>46316</v>
      </c>
      <c r="F456" t="inlineStr">
        <is>
          <t>VÄRMLANDS LÄN</t>
        </is>
      </c>
      <c r="G456" t="inlineStr">
        <is>
          <t>SÄFFLE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46316</v>
      </c>
      <c r="F457" t="inlineStr">
        <is>
          <t>VÄRMLANDS LÄN</t>
        </is>
      </c>
      <c r="G457" t="inlineStr">
        <is>
          <t>SÄFFLE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45894</v>
      </c>
      <c r="E458" s="1" t="n">
        <v>46316</v>
      </c>
      <c r="F458" t="inlineStr">
        <is>
          <t>VÄRMLANDS LÄN</t>
        </is>
      </c>
      <c r="G458" t="inlineStr">
        <is>
          <t>SÄFFLE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45723</v>
      </c>
      <c r="E459" s="1" t="n">
        <v>46316</v>
      </c>
      <c r="F459" t="inlineStr">
        <is>
          <t>VÄRMLANDS LÄN</t>
        </is>
      </c>
      <c r="G459" t="inlineStr">
        <is>
          <t>SÄFFLE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45621</v>
      </c>
      <c r="E460" s="1" t="n">
        <v>46316</v>
      </c>
      <c r="F460" t="inlineStr">
        <is>
          <t>VÄRMLANDS LÄN</t>
        </is>
      </c>
      <c r="G460" t="inlineStr">
        <is>
          <t>SÄFFLE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46316</v>
      </c>
      <c r="F461" t="inlineStr">
        <is>
          <t>VÄRMLANDS LÄN</t>
        </is>
      </c>
      <c r="G461" t="inlineStr">
        <is>
          <t>SÄFFLE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36899-2025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45874</v>
      </c>
      <c r="E462" s="1" t="n">
        <v>46316</v>
      </c>
      <c r="F462" t="inlineStr">
        <is>
          <t>VÄRMLANDS LÄN</t>
        </is>
      </c>
      <c r="G462" t="inlineStr">
        <is>
          <t>SÄFFLE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45301</v>
      </c>
      <c r="E463" s="1" t="n">
        <v>46316</v>
      </c>
      <c r="F463" t="inlineStr">
        <is>
          <t>VÄRMLANDS LÄN</t>
        </is>
      </c>
      <c r="G463" t="inlineStr">
        <is>
          <t>SÄFFLE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46316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45480-2024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45576</v>
      </c>
      <c r="E465" s="1" t="n">
        <v>46316</v>
      </c>
      <c r="F465" t="inlineStr">
        <is>
          <t>VÄRMLANDS LÄN</t>
        </is>
      </c>
      <c r="G465" t="inlineStr">
        <is>
          <t>SÄFFLE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48878-2023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46316</v>
      </c>
      <c r="F466" t="inlineStr">
        <is>
          <t>VÄRMLANDS LÄN</t>
        </is>
      </c>
      <c r="G466" t="inlineStr">
        <is>
          <t>SÄFFLE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45310</v>
      </c>
      <c r="E467" s="1" t="n">
        <v>46316</v>
      </c>
      <c r="F467" t="inlineStr">
        <is>
          <t>VÄRMLANDS LÄN</t>
        </is>
      </c>
      <c r="G467" t="inlineStr">
        <is>
          <t>SÄFFLE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45595</v>
      </c>
      <c r="E468" s="1" t="n">
        <v>46316</v>
      </c>
      <c r="F468" t="inlineStr">
        <is>
          <t>VÄRMLANDS LÄN</t>
        </is>
      </c>
      <c r="G468" t="inlineStr">
        <is>
          <t>SÄFFLE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45746</v>
      </c>
      <c r="E469" s="1" t="n">
        <v>46316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15412-2022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44659</v>
      </c>
      <c r="E470" s="1" t="n">
        <v>46316</v>
      </c>
      <c r="F470" t="inlineStr">
        <is>
          <t>VÄRMLANDS LÄN</t>
        </is>
      </c>
      <c r="G470" t="inlineStr">
        <is>
          <t>SÄFFLE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46316</v>
      </c>
      <c r="F471" t="inlineStr">
        <is>
          <t>VÄRMLANDS LÄN</t>
        </is>
      </c>
      <c r="G471" t="inlineStr">
        <is>
          <t>SÄFFLE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45012</v>
      </c>
      <c r="E472" s="1" t="n">
        <v>46316</v>
      </c>
      <c r="F472" t="inlineStr">
        <is>
          <t>VÄRMLANDS LÄN</t>
        </is>
      </c>
      <c r="G472" t="inlineStr">
        <is>
          <t>SÄFFLE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46316</v>
      </c>
      <c r="F473" t="inlineStr">
        <is>
          <t>VÄRMLANDS LÄN</t>
        </is>
      </c>
      <c r="G473" t="inlineStr">
        <is>
          <t>SÄFFLE</t>
        </is>
      </c>
      <c r="H473" t="inlineStr">
        <is>
          <t>Kommuner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61597-2022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44916</v>
      </c>
      <c r="E474" s="1" t="n">
        <v>46316</v>
      </c>
      <c r="F474" t="inlineStr">
        <is>
          <t>VÄRMLANDS LÄN</t>
        </is>
      </c>
      <c r="G474" t="inlineStr">
        <is>
          <t>SÄFFLE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44943</v>
      </c>
      <c r="E475" s="1" t="n">
        <v>46316</v>
      </c>
      <c r="F475" t="inlineStr">
        <is>
          <t>VÄRMLANDS LÄN</t>
        </is>
      </c>
      <c r="G475" t="inlineStr">
        <is>
          <t>SÄFFLE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45497</v>
      </c>
      <c r="E476" s="1" t="n">
        <v>46316</v>
      </c>
      <c r="F476" t="inlineStr">
        <is>
          <t>VÄRMLANDS LÄN</t>
        </is>
      </c>
      <c r="G476" t="inlineStr">
        <is>
          <t>SÄFFLE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44671</v>
      </c>
      <c r="E477" s="1" t="n">
        <v>46316</v>
      </c>
      <c r="F477" t="inlineStr">
        <is>
          <t>VÄRMLANDS LÄN</t>
        </is>
      </c>
      <c r="G477" t="inlineStr">
        <is>
          <t>SÄFFLE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7504-2022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46316</v>
      </c>
      <c r="F478" t="inlineStr">
        <is>
          <t>VÄRMLANDS LÄN</t>
        </is>
      </c>
      <c r="G478" t="inlineStr">
        <is>
          <t>SÄFFLE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45358</v>
      </c>
      <c r="E479" s="1" t="n">
        <v>46316</v>
      </c>
      <c r="F479" t="inlineStr">
        <is>
          <t>VÄRMLANDS LÄN</t>
        </is>
      </c>
      <c r="G479" t="inlineStr">
        <is>
          <t>SÄFFLE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45847</v>
      </c>
      <c r="E480" s="1" t="n">
        <v>46316</v>
      </c>
      <c r="F480" t="inlineStr">
        <is>
          <t>VÄRMLANDS LÄN</t>
        </is>
      </c>
      <c r="G480" t="inlineStr">
        <is>
          <t>SÄFFLE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45769</v>
      </c>
      <c r="E481" s="1" t="n">
        <v>46316</v>
      </c>
      <c r="F481" t="inlineStr">
        <is>
          <t>VÄRMLANDS LÄN</t>
        </is>
      </c>
      <c r="G481" t="inlineStr">
        <is>
          <t>SÄFFLE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65023-2023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45282</v>
      </c>
      <c r="E482" s="1" t="n">
        <v>46316</v>
      </c>
      <c r="F482" t="inlineStr">
        <is>
          <t>VÄRMLANDS LÄN</t>
        </is>
      </c>
      <c r="G482" t="inlineStr">
        <is>
          <t>SÄFFLE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45191</v>
      </c>
      <c r="E483" s="1" t="n">
        <v>46316</v>
      </c>
      <c r="F483" t="inlineStr">
        <is>
          <t>VÄRMLANDS LÄN</t>
        </is>
      </c>
      <c r="G483" t="inlineStr">
        <is>
          <t>SÄFFLE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45817</v>
      </c>
      <c r="E484" s="1" t="n">
        <v>46316</v>
      </c>
      <c r="F484" t="inlineStr">
        <is>
          <t>VÄRMLANDS LÄN</t>
        </is>
      </c>
      <c r="G484" t="inlineStr">
        <is>
          <t>SÄFFLE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37494-2025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45877</v>
      </c>
      <c r="E485" s="1" t="n">
        <v>46316</v>
      </c>
      <c r="F485" t="inlineStr">
        <is>
          <t>VÄRMLANDS LÄN</t>
        </is>
      </c>
      <c r="G485" t="inlineStr">
        <is>
          <t>SÄFFLE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45883</v>
      </c>
      <c r="E486" s="1" t="n">
        <v>46316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35417-2025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45855</v>
      </c>
      <c r="E487" s="1" t="n">
        <v>46316</v>
      </c>
      <c r="F487" t="inlineStr">
        <is>
          <t>VÄRMLANDS LÄN</t>
        </is>
      </c>
      <c r="G487" t="inlineStr">
        <is>
          <t>SÄFFLE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64366-2023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45278</v>
      </c>
      <c r="E488" s="1" t="n">
        <v>46316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46316</v>
      </c>
      <c r="F489" t="inlineStr">
        <is>
          <t>VÄRMLANDS LÄN</t>
        </is>
      </c>
      <c r="G489" t="inlineStr">
        <is>
          <t>SÄFFLE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46316</v>
      </c>
      <c r="F490" t="inlineStr">
        <is>
          <t>VÄRMLANDS LÄN</t>
        </is>
      </c>
      <c r="G490" t="inlineStr">
        <is>
          <t>SÄFFLE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13493-2024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46316</v>
      </c>
      <c r="F491" t="inlineStr">
        <is>
          <t>VÄRMLANDS LÄN</t>
        </is>
      </c>
      <c r="G491" t="inlineStr">
        <is>
          <t>SÄFFLE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44606</v>
      </c>
      <c r="E492" s="1" t="n">
        <v>46316</v>
      </c>
      <c r="F492" t="inlineStr">
        <is>
          <t>VÄRMLANDS LÄN</t>
        </is>
      </c>
      <c r="G492" t="inlineStr">
        <is>
          <t>SÄFFLE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45342</v>
      </c>
      <c r="E493" s="1" t="n">
        <v>46316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64322-2023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45280</v>
      </c>
      <c r="E494" s="1" t="n">
        <v>46316</v>
      </c>
      <c r="F494" t="inlineStr">
        <is>
          <t>VÄRMLANDS LÄN</t>
        </is>
      </c>
      <c r="G494" t="inlineStr">
        <is>
          <t>SÄFFLE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46316</v>
      </c>
      <c r="F495" t="inlineStr">
        <is>
          <t>VÄRMLANDS LÄN</t>
        </is>
      </c>
      <c r="G495" t="inlineStr">
        <is>
          <t>SÄFFLE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44564</v>
      </c>
      <c r="E496" s="1" t="n">
        <v>46316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55274-2023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45237</v>
      </c>
      <c r="E497" s="1" t="n">
        <v>46316</v>
      </c>
      <c r="F497" t="inlineStr">
        <is>
          <t>VÄRMLANDS LÄN</t>
        </is>
      </c>
      <c r="G497" t="inlineStr">
        <is>
          <t>SÄFFLE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2902-2025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45677</v>
      </c>
      <c r="E498" s="1" t="n">
        <v>46316</v>
      </c>
      <c r="F498" t="inlineStr">
        <is>
          <t>VÄRMLANDS LÄN</t>
        </is>
      </c>
      <c r="G498" t="inlineStr">
        <is>
          <t>SÄFFLE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46316</v>
      </c>
      <c r="F499" t="inlineStr">
        <is>
          <t>VÄRMLANDS LÄN</t>
        </is>
      </c>
      <c r="G499" t="inlineStr">
        <is>
          <t>SÄFFLE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45555</v>
      </c>
      <c r="E500" s="1" t="n">
        <v>46316</v>
      </c>
      <c r="F500" t="inlineStr">
        <is>
          <t>VÄRMLANDS LÄN</t>
        </is>
      </c>
      <c r="G500" t="inlineStr">
        <is>
          <t>SÄFFLE</t>
        </is>
      </c>
      <c r="I500" t="n">
        <v>17.3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46316</v>
      </c>
      <c r="F501" t="inlineStr">
        <is>
          <t>VÄRMLANDS LÄN</t>
        </is>
      </c>
      <c r="G501" t="inlineStr">
        <is>
          <t>SÄFFLE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45249</v>
      </c>
      <c r="E502" s="1" t="n">
        <v>46316</v>
      </c>
      <c r="F502" t="inlineStr">
        <is>
          <t>VÄRMLANDS LÄN</t>
        </is>
      </c>
      <c r="G502" t="inlineStr">
        <is>
          <t>SÄFFLE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45523</v>
      </c>
      <c r="E503" s="1" t="n">
        <v>46316</v>
      </c>
      <c r="F503" t="inlineStr">
        <is>
          <t>VÄRMLANDS LÄN</t>
        </is>
      </c>
      <c r="G503" t="inlineStr">
        <is>
          <t>SÄFFLE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15691-2022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44663</v>
      </c>
      <c r="E504" s="1" t="n">
        <v>46316</v>
      </c>
      <c r="F504" t="inlineStr">
        <is>
          <t>VÄRMLANDS LÄN</t>
        </is>
      </c>
      <c r="G504" t="inlineStr">
        <is>
          <t>SÄFFLE</t>
        </is>
      </c>
      <c r="I504" t="n">
        <v>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46316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27233-2024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45471</v>
      </c>
      <c r="E506" s="1" t="n">
        <v>46316</v>
      </c>
      <c r="F506" t="inlineStr">
        <is>
          <t>VÄRMLANDS LÄN</t>
        </is>
      </c>
      <c r="G506" t="inlineStr">
        <is>
          <t>SÄFFLE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4253-2024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45324</v>
      </c>
      <c r="E507" s="1" t="n">
        <v>46316</v>
      </c>
      <c r="F507" t="inlineStr">
        <is>
          <t>VÄRMLANDS LÄN</t>
        </is>
      </c>
      <c r="G507" t="inlineStr">
        <is>
          <t>SÄFFLE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32386-2025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45837</v>
      </c>
      <c r="E508" s="1" t="n">
        <v>46316</v>
      </c>
      <c r="F508" t="inlineStr">
        <is>
          <t>VÄRMLANDS LÄN</t>
        </is>
      </c>
      <c r="G508" t="inlineStr">
        <is>
          <t>SÄFFLE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13309-2023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46316</v>
      </c>
      <c r="F509" t="inlineStr">
        <is>
          <t>VÄRMLANDS LÄN</t>
        </is>
      </c>
      <c r="G509" t="inlineStr">
        <is>
          <t>SÄFFLE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12482-2024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45379</v>
      </c>
      <c r="E510" s="1" t="n">
        <v>46316</v>
      </c>
      <c r="F510" t="inlineStr">
        <is>
          <t>VÄRMLANDS LÄN</t>
        </is>
      </c>
      <c r="G510" t="inlineStr">
        <is>
          <t>SÄFFLE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22393-2026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46154</v>
      </c>
      <c r="E511" s="1" t="n">
        <v>46316</v>
      </c>
      <c r="F511" t="inlineStr">
        <is>
          <t>VÄRMLANDS LÄN</t>
        </is>
      </c>
      <c r="G511" t="inlineStr">
        <is>
          <t>SÄFFLE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46316</v>
      </c>
      <c r="F512" t="inlineStr">
        <is>
          <t>VÄRMLANDS LÄN</t>
        </is>
      </c>
      <c r="G512" t="inlineStr">
        <is>
          <t>SÄFFLE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73355-2021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44550</v>
      </c>
      <c r="E513" s="1" t="n">
        <v>46316</v>
      </c>
      <c r="F513" t="inlineStr">
        <is>
          <t>VÄRMLANDS LÄN</t>
        </is>
      </c>
      <c r="G513" t="inlineStr">
        <is>
          <t>SÄFFLE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45542</v>
      </c>
      <c r="E514" s="1" t="n">
        <v>46316</v>
      </c>
      <c r="F514" t="inlineStr">
        <is>
          <t>VÄRMLANDS LÄN</t>
        </is>
      </c>
      <c r="G514" t="inlineStr">
        <is>
          <t>SÄFFLE</t>
        </is>
      </c>
      <c r="I514" t="n">
        <v>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35116-2024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45527</v>
      </c>
      <c r="E515" s="1" t="n">
        <v>46316</v>
      </c>
      <c r="F515" t="inlineStr">
        <is>
          <t>VÄRMLANDS LÄN</t>
        </is>
      </c>
      <c r="G515" t="inlineStr">
        <is>
          <t>SÄFFLE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43995-2024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46316</v>
      </c>
      <c r="F516" t="inlineStr">
        <is>
          <t>VÄRMLANDS LÄN</t>
        </is>
      </c>
      <c r="G516" t="inlineStr">
        <is>
          <t>SÄFFLE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39587-2025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45890</v>
      </c>
      <c r="E517" s="1" t="n">
        <v>46316</v>
      </c>
      <c r="F517" t="inlineStr">
        <is>
          <t>VÄRMLANDS LÄN</t>
        </is>
      </c>
      <c r="G517" t="inlineStr">
        <is>
          <t>SÄFFLE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46316</v>
      </c>
      <c r="F518" t="inlineStr">
        <is>
          <t>VÄRMLANDS LÄN</t>
        </is>
      </c>
      <c r="G518" t="inlineStr">
        <is>
          <t>SÄFFLE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45295</v>
      </c>
      <c r="E519" s="1" t="n">
        <v>46316</v>
      </c>
      <c r="F519" t="inlineStr">
        <is>
          <t>VÄRMLANDS LÄN</t>
        </is>
      </c>
      <c r="G519" t="inlineStr">
        <is>
          <t>SÄFFLE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45330</v>
      </c>
      <c r="E520" s="1" t="n">
        <v>46316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45825</v>
      </c>
      <c r="E521" s="1" t="n">
        <v>46316</v>
      </c>
      <c r="F521" t="inlineStr">
        <is>
          <t>VÄRMLANDS LÄN</t>
        </is>
      </c>
      <c r="G521" t="inlineStr">
        <is>
          <t>SÄFFLE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47808-2025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45931</v>
      </c>
      <c r="E522" s="1" t="n">
        <v>46316</v>
      </c>
      <c r="F522" t="inlineStr">
        <is>
          <t>VÄRMLANDS LÄN</t>
        </is>
      </c>
      <c r="G522" t="inlineStr">
        <is>
          <t>SÄFFLE</t>
        </is>
      </c>
      <c r="H522" t="inlineStr">
        <is>
          <t>Kyrkan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45805</v>
      </c>
      <c r="E523" s="1" t="n">
        <v>46316</v>
      </c>
      <c r="F523" t="inlineStr">
        <is>
          <t>VÄRMLANDS LÄN</t>
        </is>
      </c>
      <c r="G523" t="inlineStr">
        <is>
          <t>SÄFFLE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41804-2023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45176</v>
      </c>
      <c r="E524" s="1" t="n">
        <v>46316</v>
      </c>
      <c r="F524" t="inlineStr">
        <is>
          <t>VÄRMLANDS LÄN</t>
        </is>
      </c>
      <c r="G524" t="inlineStr">
        <is>
          <t>SÄFFLE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10645-2024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45367</v>
      </c>
      <c r="E525" s="1" t="n">
        <v>46316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46164</v>
      </c>
      <c r="E526" s="1" t="n">
        <v>46316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44988</v>
      </c>
      <c r="E527" s="1" t="n">
        <v>46316</v>
      </c>
      <c r="F527" t="inlineStr">
        <is>
          <t>VÄRMLANDS LÄN</t>
        </is>
      </c>
      <c r="G527" t="inlineStr">
        <is>
          <t>SÄFFLE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46316</v>
      </c>
      <c r="F528" t="inlineStr">
        <is>
          <t>VÄRMLANDS LÄN</t>
        </is>
      </c>
      <c r="G528" t="inlineStr">
        <is>
          <t>SÄFFLE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51189-2024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46316</v>
      </c>
      <c r="F529" t="inlineStr">
        <is>
          <t>VÄRMLANDS LÄN</t>
        </is>
      </c>
      <c r="G529" t="inlineStr">
        <is>
          <t>SÄFFLE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46316</v>
      </c>
      <c r="F530" t="inlineStr">
        <is>
          <t>VÄRMLANDS LÄN</t>
        </is>
      </c>
      <c r="G530" t="inlineStr">
        <is>
          <t>SÄFFLE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45133</v>
      </c>
      <c r="E531" s="1" t="n">
        <v>46316</v>
      </c>
      <c r="F531" t="inlineStr">
        <is>
          <t>VÄRMLANDS LÄN</t>
        </is>
      </c>
      <c r="G531" t="inlineStr">
        <is>
          <t>SÄFFLE</t>
        </is>
      </c>
      <c r="I531" t="n">
        <v>29.5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45733</v>
      </c>
      <c r="E532" s="1" t="n">
        <v>46316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45439</v>
      </c>
      <c r="E533" s="1" t="n">
        <v>46316</v>
      </c>
      <c r="F533" t="inlineStr">
        <is>
          <t>VÄRMLANDS LÄN</t>
        </is>
      </c>
      <c r="G533" t="inlineStr">
        <is>
          <t>SÄFFLE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46316</v>
      </c>
      <c r="F534" t="inlineStr">
        <is>
          <t>VÄRMLANDS LÄN</t>
        </is>
      </c>
      <c r="G534" t="inlineStr">
        <is>
          <t>SÄFFLE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61643-2023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45261</v>
      </c>
      <c r="E535" s="1" t="n">
        <v>46316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31945-2022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44777</v>
      </c>
      <c r="E536" s="1" t="n">
        <v>46316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46316</v>
      </c>
      <c r="F537" t="inlineStr">
        <is>
          <t>VÄRMLANDS LÄN</t>
        </is>
      </c>
      <c r="G537" t="inlineStr">
        <is>
          <t>SÄFFLE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46316</v>
      </c>
      <c r="F538" t="inlineStr">
        <is>
          <t>VÄRMLANDS LÄN</t>
        </is>
      </c>
      <c r="G538" t="inlineStr">
        <is>
          <t>SÄFFLE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45428</v>
      </c>
      <c r="E539" s="1" t="n">
        <v>46316</v>
      </c>
      <c r="F539" t="inlineStr">
        <is>
          <t>VÄRMLANDS LÄN</t>
        </is>
      </c>
      <c r="G539" t="inlineStr">
        <is>
          <t>SÄFFLE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46316</v>
      </c>
      <c r="F540" t="inlineStr">
        <is>
          <t>VÄRMLANDS LÄN</t>
        </is>
      </c>
      <c r="G540" t="inlineStr">
        <is>
          <t>SÄFFLE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46316</v>
      </c>
      <c r="F541" t="inlineStr">
        <is>
          <t>VÄRMLANDS LÄN</t>
        </is>
      </c>
      <c r="G541" t="inlineStr">
        <is>
          <t>SÄFFLE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24546-2026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46316</v>
      </c>
      <c r="F542" t="inlineStr">
        <is>
          <t>VÄRMLANDS LÄN</t>
        </is>
      </c>
      <c r="G542" t="inlineStr">
        <is>
          <t>SÄFFLE</t>
        </is>
      </c>
      <c r="H542" t="inlineStr">
        <is>
          <t>Kommuner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46316</v>
      </c>
      <c r="F543" t="inlineStr">
        <is>
          <t>VÄRMLANDS LÄN</t>
        </is>
      </c>
      <c r="G543" t="inlineStr">
        <is>
          <t>SÄFFLE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46316</v>
      </c>
      <c r="F544" t="inlineStr">
        <is>
          <t>VÄRMLANDS LÄN</t>
        </is>
      </c>
      <c r="G544" t="inlineStr">
        <is>
          <t>SÄFFLE</t>
        </is>
      </c>
      <c r="H544" t="inlineStr">
        <is>
          <t>Kommuner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14436-2024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45394</v>
      </c>
      <c r="E545" s="1" t="n">
        <v>46316</v>
      </c>
      <c r="F545" t="inlineStr">
        <is>
          <t>VÄRMLANDS LÄN</t>
        </is>
      </c>
      <c r="G545" t="inlineStr">
        <is>
          <t>SÄFFLE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46316</v>
      </c>
      <c r="F546" t="inlineStr">
        <is>
          <t>VÄRMLANDS LÄN</t>
        </is>
      </c>
      <c r="G546" t="inlineStr">
        <is>
          <t>SÄFFLE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46316</v>
      </c>
      <c r="F547" t="inlineStr">
        <is>
          <t>VÄRMLANDS LÄN</t>
        </is>
      </c>
      <c r="G547" t="inlineStr">
        <is>
          <t>SÄFFLE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44678</v>
      </c>
      <c r="E548" s="1" t="n">
        <v>46316</v>
      </c>
      <c r="F548" t="inlineStr">
        <is>
          <t>VÄRMLANDS LÄN</t>
        </is>
      </c>
      <c r="G548" t="inlineStr">
        <is>
          <t>SÄFFLE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51266-2024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46316</v>
      </c>
      <c r="F549" t="inlineStr">
        <is>
          <t>VÄRMLANDS LÄN</t>
        </is>
      </c>
      <c r="G549" t="inlineStr">
        <is>
          <t>SÄFFLE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46316</v>
      </c>
      <c r="F550" t="inlineStr">
        <is>
          <t>VÄRMLANDS LÄN</t>
        </is>
      </c>
      <c r="G550" t="inlineStr">
        <is>
          <t>SÄFFLE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46175</v>
      </c>
      <c r="E551" s="1" t="n">
        <v>46316</v>
      </c>
      <c r="F551" t="inlineStr">
        <is>
          <t>VÄRMLANDS LÄN</t>
        </is>
      </c>
      <c r="G551" t="inlineStr">
        <is>
          <t>SÄFFLE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17916-2024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45419</v>
      </c>
      <c r="E552" s="1" t="n">
        <v>46316</v>
      </c>
      <c r="F552" t="inlineStr">
        <is>
          <t>VÄRMLANDS LÄN</t>
        </is>
      </c>
      <c r="G552" t="inlineStr">
        <is>
          <t>SÄFFLE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46316</v>
      </c>
      <c r="F553" t="inlineStr">
        <is>
          <t>VÄRMLANDS LÄN</t>
        </is>
      </c>
      <c r="G553" t="inlineStr">
        <is>
          <t>SÄFFLE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54126-2022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44881</v>
      </c>
      <c r="E554" s="1" t="n">
        <v>46316</v>
      </c>
      <c r="F554" t="inlineStr">
        <is>
          <t>VÄRMLANDS LÄN</t>
        </is>
      </c>
      <c r="G554" t="inlineStr">
        <is>
          <t>SÄFFLE</t>
        </is>
      </c>
      <c r="H554" t="inlineStr">
        <is>
          <t>Kyrkan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45337</v>
      </c>
      <c r="E555" s="1" t="n">
        <v>46316</v>
      </c>
      <c r="F555" t="inlineStr">
        <is>
          <t>VÄRMLANDS LÄN</t>
        </is>
      </c>
      <c r="G555" t="inlineStr">
        <is>
          <t>SÄFFLE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45258</v>
      </c>
      <c r="E556" s="1" t="n">
        <v>46316</v>
      </c>
      <c r="F556" t="inlineStr">
        <is>
          <t>VÄRMLANDS LÄN</t>
        </is>
      </c>
      <c r="G556" t="inlineStr">
        <is>
          <t>SÄFFLE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46316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46316</v>
      </c>
      <c r="F558" t="inlineStr">
        <is>
          <t>VÄRMLANDS LÄN</t>
        </is>
      </c>
      <c r="G558" t="inlineStr">
        <is>
          <t>SÄFFLE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63787-2021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44509</v>
      </c>
      <c r="E559" s="1" t="n">
        <v>46316</v>
      </c>
      <c r="F559" t="inlineStr">
        <is>
          <t>VÄRMLANDS LÄN</t>
        </is>
      </c>
      <c r="G559" t="inlineStr">
        <is>
          <t>SÄFFLE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45525</v>
      </c>
      <c r="E560" s="1" t="n">
        <v>46316</v>
      </c>
      <c r="F560" t="inlineStr">
        <is>
          <t>VÄRMLANDS LÄN</t>
        </is>
      </c>
      <c r="G560" t="inlineStr">
        <is>
          <t>SÄFFLE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45719</v>
      </c>
      <c r="E561" s="1" t="n">
        <v>46316</v>
      </c>
      <c r="F561" t="inlineStr">
        <is>
          <t>VÄRMLANDS LÄN</t>
        </is>
      </c>
      <c r="G561" t="inlineStr">
        <is>
          <t>SÄFFLE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45425</v>
      </c>
      <c r="E562" s="1" t="n">
        <v>46316</v>
      </c>
      <c r="F562" t="inlineStr">
        <is>
          <t>VÄRMLANDS LÄN</t>
        </is>
      </c>
      <c r="G562" t="inlineStr">
        <is>
          <t>SÄFFLE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46316</v>
      </c>
      <c r="F563" t="inlineStr">
        <is>
          <t>VÄRMLANDS LÄN</t>
        </is>
      </c>
      <c r="G563" t="inlineStr">
        <is>
          <t>SÄFFLE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46316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45006</v>
      </c>
      <c r="E565" s="1" t="n">
        <v>46316</v>
      </c>
      <c r="F565" t="inlineStr">
        <is>
          <t>VÄRMLANDS LÄN</t>
        </is>
      </c>
      <c r="G565" t="inlineStr">
        <is>
          <t>SÄFFLE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28267-2024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45477</v>
      </c>
      <c r="E566" s="1" t="n">
        <v>46316</v>
      </c>
      <c r="F566" t="inlineStr">
        <is>
          <t>VÄRMLANDS LÄN</t>
        </is>
      </c>
      <c r="G566" t="inlineStr">
        <is>
          <t>SÄFFLE</t>
        </is>
      </c>
      <c r="I566" t="n">
        <v>9.4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59807-2024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45639</v>
      </c>
      <c r="E567" s="1" t="n">
        <v>46316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59812-2024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45639</v>
      </c>
      <c r="E568" s="1" t="n">
        <v>46316</v>
      </c>
      <c r="F568" t="inlineStr">
        <is>
          <t>VÄRMLANDS LÄN</t>
        </is>
      </c>
      <c r="G568" t="inlineStr">
        <is>
          <t>SÄFFLE</t>
        </is>
      </c>
      <c r="I568" t="n">
        <v>8.1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23188-2024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45450</v>
      </c>
      <c r="E569" s="1" t="n">
        <v>46316</v>
      </c>
      <c r="F569" t="inlineStr">
        <is>
          <t>VÄRMLANDS LÄN</t>
        </is>
      </c>
      <c r="G569" t="inlineStr">
        <is>
          <t>SÄFFLE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38534-2022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44813</v>
      </c>
      <c r="E570" s="1" t="n">
        <v>46316</v>
      </c>
      <c r="F570" t="inlineStr">
        <is>
          <t>VÄRMLANDS LÄN</t>
        </is>
      </c>
      <c r="G570" t="inlineStr">
        <is>
          <t>SÄFFLE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46316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31985-2023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45107</v>
      </c>
      <c r="E572" s="1" t="n">
        <v>46316</v>
      </c>
      <c r="F572" t="inlineStr">
        <is>
          <t>VÄRMLANDS LÄN</t>
        </is>
      </c>
      <c r="G572" t="inlineStr">
        <is>
          <t>SÄFFLE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5468-2023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44960</v>
      </c>
      <c r="E573" s="1" t="n">
        <v>46316</v>
      </c>
      <c r="F573" t="inlineStr">
        <is>
          <t>VÄRMLANDS LÄN</t>
        </is>
      </c>
      <c r="G573" t="inlineStr">
        <is>
          <t>SÄFFLE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46316</v>
      </c>
      <c r="F574" t="inlineStr">
        <is>
          <t>VÄRMLANDS LÄN</t>
        </is>
      </c>
      <c r="G574" t="inlineStr">
        <is>
          <t>SÄFFLE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63858-2021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44509</v>
      </c>
      <c r="E575" s="1" t="n">
        <v>46316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46316</v>
      </c>
      <c r="F576" t="inlineStr">
        <is>
          <t>VÄRMLANDS LÄN</t>
        </is>
      </c>
      <c r="G576" t="inlineStr">
        <is>
          <t>SÄFFLE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20322-2025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45775</v>
      </c>
      <c r="E577" s="1" t="n">
        <v>46316</v>
      </c>
      <c r="F577" t="inlineStr">
        <is>
          <t>VÄRMLANDS LÄN</t>
        </is>
      </c>
      <c r="G577" t="inlineStr">
        <is>
          <t>SÄFFLE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45522</v>
      </c>
      <c r="E578" s="1" t="n">
        <v>46316</v>
      </c>
      <c r="F578" t="inlineStr">
        <is>
          <t>VÄRMLANDS LÄN</t>
        </is>
      </c>
      <c r="G578" t="inlineStr">
        <is>
          <t>SÄFFLE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46316</v>
      </c>
      <c r="F579" t="inlineStr">
        <is>
          <t>VÄRMLANDS LÄN</t>
        </is>
      </c>
      <c r="G579" t="inlineStr">
        <is>
          <t>SÄFFLE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8766-2024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46316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46316</v>
      </c>
      <c r="F581" t="inlineStr">
        <is>
          <t>VÄRMLANDS LÄN</t>
        </is>
      </c>
      <c r="G581" t="inlineStr">
        <is>
          <t>SÄFFLE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46316</v>
      </c>
      <c r="F582" t="inlineStr">
        <is>
          <t>VÄRMLANDS LÄN</t>
        </is>
      </c>
      <c r="G582" t="inlineStr">
        <is>
          <t>SÄFFLE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45433</v>
      </c>
      <c r="E583" s="1" t="n">
        <v>46316</v>
      </c>
      <c r="F583" t="inlineStr">
        <is>
          <t>VÄRMLANDS LÄN</t>
        </is>
      </c>
      <c r="G583" t="inlineStr">
        <is>
          <t>SÄFFLE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46316</v>
      </c>
      <c r="F584" t="inlineStr">
        <is>
          <t>VÄRMLANDS LÄN</t>
        </is>
      </c>
      <c r="G584" t="inlineStr">
        <is>
          <t>SÄFFLE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46316</v>
      </c>
      <c r="F585" t="inlineStr">
        <is>
          <t>VÄRMLANDS LÄN</t>
        </is>
      </c>
      <c r="G585" t="inlineStr">
        <is>
          <t>SÄFFLE</t>
        </is>
      </c>
      <c r="I585" t="n">
        <v>14.3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51602-2023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45222</v>
      </c>
      <c r="E586" s="1" t="n">
        <v>46316</v>
      </c>
      <c r="F586" t="inlineStr">
        <is>
          <t>VÄRMLANDS LÄN</t>
        </is>
      </c>
      <c r="G586" t="inlineStr">
        <is>
          <t>SÄFFLE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19385-2024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45428</v>
      </c>
      <c r="E587" s="1" t="n">
        <v>46316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39148-2024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45548</v>
      </c>
      <c r="E588" s="1" t="n">
        <v>46316</v>
      </c>
      <c r="F588" t="inlineStr">
        <is>
          <t>VÄRMLANDS LÄN</t>
        </is>
      </c>
      <c r="G588" t="inlineStr">
        <is>
          <t>SÄFFLE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45439</v>
      </c>
      <c r="E589" s="1" t="n">
        <v>46316</v>
      </c>
      <c r="F589" t="inlineStr">
        <is>
          <t>VÄRMLANDS LÄN</t>
        </is>
      </c>
      <c r="G589" t="inlineStr">
        <is>
          <t>SÄFFLE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45313</v>
      </c>
      <c r="E590" s="1" t="n">
        <v>46316</v>
      </c>
      <c r="F590" t="inlineStr">
        <is>
          <t>VÄRMLANDS LÄN</t>
        </is>
      </c>
      <c r="G590" t="inlineStr">
        <is>
          <t>SÄFFLE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15210-2026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46105</v>
      </c>
      <c r="E591" s="1" t="n">
        <v>46316</v>
      </c>
      <c r="F591" t="inlineStr">
        <is>
          <t>VÄRMLANDS LÄN</t>
        </is>
      </c>
      <c r="G591" t="inlineStr">
        <is>
          <t>SÄFFLE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46209</v>
      </c>
      <c r="E592" s="1" t="n">
        <v>46316</v>
      </c>
      <c r="F592" t="inlineStr">
        <is>
          <t>VÄRMLANDS LÄN</t>
        </is>
      </c>
      <c r="G592" t="inlineStr">
        <is>
          <t>SÄFFLE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46316</v>
      </c>
      <c r="F593" t="inlineStr">
        <is>
          <t>VÄRMLANDS LÄN</t>
        </is>
      </c>
      <c r="G593" t="inlineStr">
        <is>
          <t>SÄFFLE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45021</v>
      </c>
      <c r="E594" s="1" t="n">
        <v>46316</v>
      </c>
      <c r="F594" t="inlineStr">
        <is>
          <t>VÄRMLANDS LÄN</t>
        </is>
      </c>
      <c r="G594" t="inlineStr">
        <is>
          <t>SÄFFLE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45271</v>
      </c>
      <c r="E595" s="1" t="n">
        <v>46316</v>
      </c>
      <c r="F595" t="inlineStr">
        <is>
          <t>VÄRMLANDS LÄN</t>
        </is>
      </c>
      <c r="G595" t="inlineStr">
        <is>
          <t>SÄFFLE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46316</v>
      </c>
      <c r="F596" t="inlineStr">
        <is>
          <t>VÄRMLANDS LÄN</t>
        </is>
      </c>
      <c r="G596" t="inlineStr">
        <is>
          <t>SÄFFLE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46316</v>
      </c>
      <c r="F597" t="inlineStr">
        <is>
          <t>VÄRMLANDS LÄN</t>
        </is>
      </c>
      <c r="G597" t="inlineStr">
        <is>
          <t>SÄFFLE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46316</v>
      </c>
      <c r="F598" t="inlineStr">
        <is>
          <t>VÄRMLANDS LÄN</t>
        </is>
      </c>
      <c r="G598" t="inlineStr">
        <is>
          <t>SÄFFLE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46316</v>
      </c>
      <c r="F599" t="inlineStr">
        <is>
          <t>VÄRMLANDS LÄN</t>
        </is>
      </c>
      <c r="G599" t="inlineStr">
        <is>
          <t>SÄFFLE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63673-2021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44509</v>
      </c>
      <c r="E600" s="1" t="n">
        <v>46316</v>
      </c>
      <c r="F600" t="inlineStr">
        <is>
          <t>VÄRMLANDS LÄN</t>
        </is>
      </c>
      <c r="G600" t="inlineStr">
        <is>
          <t>SÄFFLE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62000-2023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45266</v>
      </c>
      <c r="E601" s="1" t="n">
        <v>46316</v>
      </c>
      <c r="F601" t="inlineStr">
        <is>
          <t>VÄRMLANDS LÄN</t>
        </is>
      </c>
      <c r="G601" t="inlineStr">
        <is>
          <t>SÄFFLE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36208-2024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45534</v>
      </c>
      <c r="E602" s="1" t="n">
        <v>46316</v>
      </c>
      <c r="F602" t="inlineStr">
        <is>
          <t>VÄRMLANDS LÄN</t>
        </is>
      </c>
      <c r="G602" t="inlineStr">
        <is>
          <t>SÄFFLE</t>
        </is>
      </c>
      <c r="H602" t="inlineStr">
        <is>
          <t>Kyrkan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37420-2023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45156</v>
      </c>
      <c r="E603" s="1" t="n">
        <v>46316</v>
      </c>
      <c r="F603" t="inlineStr">
        <is>
          <t>VÄRMLANDS LÄN</t>
        </is>
      </c>
      <c r="G603" t="inlineStr">
        <is>
          <t>SÄFFLE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44868</v>
      </c>
      <c r="E604" s="1" t="n">
        <v>46316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45147</v>
      </c>
      <c r="E605" s="1" t="n">
        <v>46316</v>
      </c>
      <c r="F605" t="inlineStr">
        <is>
          <t>VÄRMLANDS LÄN</t>
        </is>
      </c>
      <c r="G605" t="inlineStr">
        <is>
          <t>SÄFFLE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45233-2023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46316</v>
      </c>
      <c r="F606" t="inlineStr">
        <is>
          <t>VÄRMLANDS LÄN</t>
        </is>
      </c>
      <c r="G606" t="inlineStr">
        <is>
          <t>SÄFFLE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73662-2021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44552</v>
      </c>
      <c r="E607" s="1" t="n">
        <v>46316</v>
      </c>
      <c r="F607" t="inlineStr">
        <is>
          <t>VÄRMLANDS LÄN</t>
        </is>
      </c>
      <c r="G607" t="inlineStr">
        <is>
          <t>SÄFFLE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46316</v>
      </c>
      <c r="F608" t="inlineStr">
        <is>
          <t>VÄRMLANDS LÄN</t>
        </is>
      </c>
      <c r="G608" t="inlineStr">
        <is>
          <t>SÄFFLE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45062</v>
      </c>
      <c r="E609" s="1" t="n">
        <v>46316</v>
      </c>
      <c r="F609" t="inlineStr">
        <is>
          <t>VÄRMLANDS LÄN</t>
        </is>
      </c>
      <c r="G609" t="inlineStr">
        <is>
          <t>SÄFFLE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46232</v>
      </c>
      <c r="E610" s="1" t="n">
        <v>46316</v>
      </c>
      <c r="F610" t="inlineStr">
        <is>
          <t>VÄRMLANDS LÄN</t>
        </is>
      </c>
      <c r="G610" t="inlineStr">
        <is>
          <t>SÄFFLE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31935-2026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46232</v>
      </c>
      <c r="E611" s="1" t="n">
        <v>46316</v>
      </c>
      <c r="F611" t="inlineStr">
        <is>
          <t>VÄRMLANDS LÄN</t>
        </is>
      </c>
      <c r="G611" t="inlineStr">
        <is>
          <t>SÄFFLE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46316</v>
      </c>
      <c r="F612" t="inlineStr">
        <is>
          <t>VÄRMLANDS LÄN</t>
        </is>
      </c>
      <c r="G612" t="inlineStr">
        <is>
          <t>SÄFFLE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46316</v>
      </c>
      <c r="F613" t="inlineStr">
        <is>
          <t>VÄRMLANDS LÄN</t>
        </is>
      </c>
      <c r="G613" t="inlineStr">
        <is>
          <t>SÄFFLE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46237</v>
      </c>
      <c r="E614" s="1" t="n">
        <v>46316</v>
      </c>
      <c r="F614" t="inlineStr">
        <is>
          <t>VÄRMLANDS LÄN</t>
        </is>
      </c>
      <c r="G614" t="inlineStr">
        <is>
          <t>SÄFFLE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46316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46316</v>
      </c>
      <c r="F616" t="inlineStr">
        <is>
          <t>VÄRMLANDS LÄN</t>
        </is>
      </c>
      <c r="G616" t="inlineStr">
        <is>
          <t>SÄFFLE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56506-2023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45237</v>
      </c>
      <c r="E617" s="1" t="n">
        <v>46316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46316</v>
      </c>
      <c r="F618" t="inlineStr">
        <is>
          <t>VÄRMLANDS LÄN</t>
        </is>
      </c>
      <c r="G618" t="inlineStr">
        <is>
          <t>SÄFFLE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7602-2024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45348</v>
      </c>
      <c r="E619" s="1" t="n">
        <v>46316</v>
      </c>
      <c r="F619" t="inlineStr">
        <is>
          <t>VÄRMLANDS LÄN</t>
        </is>
      </c>
      <c r="G619" t="inlineStr">
        <is>
          <t>SÄFFLE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46237</v>
      </c>
      <c r="E620" s="1" t="n">
        <v>46316</v>
      </c>
      <c r="F620" t="inlineStr">
        <is>
          <t>VÄRMLANDS LÄN</t>
        </is>
      </c>
      <c r="G620" t="inlineStr">
        <is>
          <t>SÄFFLE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32200-2026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46237</v>
      </c>
      <c r="E621" s="1" t="n">
        <v>46316</v>
      </c>
      <c r="F621" t="inlineStr">
        <is>
          <t>VÄRMLANDS LÄN</t>
        </is>
      </c>
      <c r="G621" t="inlineStr">
        <is>
          <t>SÄFFLE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46279</v>
      </c>
      <c r="E622" s="1" t="n">
        <v>46316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44909</v>
      </c>
      <c r="E623" s="1" t="n">
        <v>46316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38256-2026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46281</v>
      </c>
      <c r="E624" s="1" t="n">
        <v>46316</v>
      </c>
      <c r="F624" t="inlineStr">
        <is>
          <t>VÄRMLANDS LÄN</t>
        </is>
      </c>
      <c r="G624" t="inlineStr">
        <is>
          <t>SÄFFLE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19869-2025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45771</v>
      </c>
      <c r="E625" s="1" t="n">
        <v>46316</v>
      </c>
      <c r="F625" t="inlineStr">
        <is>
          <t>VÄRMLANDS LÄN</t>
        </is>
      </c>
      <c r="G625" t="inlineStr">
        <is>
          <t>SÄFFLE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42377-2024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45564</v>
      </c>
      <c r="E626" s="1" t="n">
        <v>46316</v>
      </c>
      <c r="F626" t="inlineStr">
        <is>
          <t>VÄRMLANDS LÄN</t>
        </is>
      </c>
      <c r="G626" t="inlineStr">
        <is>
          <t>SÄFFLE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38116-2026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46281</v>
      </c>
      <c r="E627" s="1" t="n">
        <v>46316</v>
      </c>
      <c r="F627" t="inlineStr">
        <is>
          <t>VÄRMLANDS LÄN</t>
        </is>
      </c>
      <c r="G627" t="inlineStr">
        <is>
          <t>SÄFFLE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53378-2024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45609</v>
      </c>
      <c r="E628" s="1" t="n">
        <v>46316</v>
      </c>
      <c r="F628" t="inlineStr">
        <is>
          <t>VÄRMLANDS LÄN</t>
        </is>
      </c>
      <c r="G628" t="inlineStr">
        <is>
          <t>SÄFFLE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46283</v>
      </c>
      <c r="E629" s="1" t="n">
        <v>46316</v>
      </c>
      <c r="F629" t="inlineStr">
        <is>
          <t>VÄRMLANDS LÄN</t>
        </is>
      </c>
      <c r="G629" t="inlineStr">
        <is>
          <t>SÄFFLE</t>
        </is>
      </c>
      <c r="H629" t="inlineStr">
        <is>
          <t>Bergvik skog väst AB</t>
        </is>
      </c>
      <c r="I629" t="n">
        <v>12.6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25142-2023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45078</v>
      </c>
      <c r="E630" s="1" t="n">
        <v>46316</v>
      </c>
      <c r="F630" t="inlineStr">
        <is>
          <t>VÄRMLANDS LÄN</t>
        </is>
      </c>
      <c r="G630" t="inlineStr">
        <is>
          <t>SÄFFLE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40799-2022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44824</v>
      </c>
      <c r="E631" s="1" t="n">
        <v>46316</v>
      </c>
      <c r="F631" t="inlineStr">
        <is>
          <t>VÄRMLANDS LÄN</t>
        </is>
      </c>
      <c r="G631" t="inlineStr">
        <is>
          <t>SÄFFLE</t>
        </is>
      </c>
      <c r="I631" t="n">
        <v>11.4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46283</v>
      </c>
      <c r="E632" s="1" t="n">
        <v>46316</v>
      </c>
      <c r="F632" t="inlineStr">
        <is>
          <t>VÄRMLANDS LÄN</t>
        </is>
      </c>
      <c r="G632" t="inlineStr">
        <is>
          <t>SÄFFLE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41368-2024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45559</v>
      </c>
      <c r="E633" s="1" t="n">
        <v>46316</v>
      </c>
      <c r="F633" t="inlineStr">
        <is>
          <t>VÄRMLANDS LÄN</t>
        </is>
      </c>
      <c r="G633" t="inlineStr">
        <is>
          <t>SÄFFLE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46316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46316</v>
      </c>
      <c r="F635" t="inlineStr">
        <is>
          <t>VÄRMLANDS LÄN</t>
        </is>
      </c>
      <c r="G635" t="inlineStr">
        <is>
          <t>SÄFFLE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61677-2021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44501</v>
      </c>
      <c r="E636" s="1" t="n">
        <v>46316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45012</v>
      </c>
      <c r="E637" s="1" t="n">
        <v>46316</v>
      </c>
      <c r="F637" t="inlineStr">
        <is>
          <t>VÄRMLANDS LÄN</t>
        </is>
      </c>
      <c r="G637" t="inlineStr">
        <is>
          <t>SÄFFLE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33245-2023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45127</v>
      </c>
      <c r="E638" s="1" t="n">
        <v>46316</v>
      </c>
      <c r="F638" t="inlineStr">
        <is>
          <t>VÄRMLANDS LÄN</t>
        </is>
      </c>
      <c r="G638" t="inlineStr">
        <is>
          <t>SÄFFLE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40363-2025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45895</v>
      </c>
      <c r="E639" s="1" t="n">
        <v>46316</v>
      </c>
      <c r="F639" t="inlineStr">
        <is>
          <t>VÄRMLANDS LÄN</t>
        </is>
      </c>
      <c r="G639" t="inlineStr">
        <is>
          <t>SÄFFLE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10223-2025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45720</v>
      </c>
      <c r="E640" s="1" t="n">
        <v>46316</v>
      </c>
      <c r="F640" t="inlineStr">
        <is>
          <t>VÄRMLANDS LÄN</t>
        </is>
      </c>
      <c r="G640" t="inlineStr">
        <is>
          <t>SÄFFLE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46859-2024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45583</v>
      </c>
      <c r="E641" s="1" t="n">
        <v>46316</v>
      </c>
      <c r="F641" t="inlineStr">
        <is>
          <t>VÄRMLANDS LÄN</t>
        </is>
      </c>
      <c r="G641" t="inlineStr">
        <is>
          <t>SÄFFLE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45355</v>
      </c>
      <c r="E642" s="1" t="n">
        <v>46316</v>
      </c>
      <c r="F642" t="inlineStr">
        <is>
          <t>VÄRMLANDS LÄN</t>
        </is>
      </c>
      <c r="G642" t="inlineStr">
        <is>
          <t>SÄFFLE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38992-2026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46316</v>
      </c>
      <c r="F643" t="inlineStr">
        <is>
          <t>VÄRMLANDS LÄN</t>
        </is>
      </c>
      <c r="G643" t="inlineStr">
        <is>
          <t>SÄFFLE</t>
        </is>
      </c>
      <c r="H643" t="inlineStr">
        <is>
          <t>Bergvik skog väst AB</t>
        </is>
      </c>
      <c r="I643" t="n">
        <v>10.2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45910</v>
      </c>
      <c r="E644" s="1" t="n">
        <v>46316</v>
      </c>
      <c r="F644" t="inlineStr">
        <is>
          <t>VÄRMLANDS LÄN</t>
        </is>
      </c>
      <c r="G644" t="inlineStr">
        <is>
          <t>SÄFFLE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39138-2026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46287</v>
      </c>
      <c r="E645" s="1" t="n">
        <v>46316</v>
      </c>
      <c r="F645" t="inlineStr">
        <is>
          <t>VÄRMLANDS LÄN</t>
        </is>
      </c>
      <c r="G645" t="inlineStr">
        <is>
          <t>SÄFFLE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45171</v>
      </c>
      <c r="E646" s="1" t="n">
        <v>46316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46316</v>
      </c>
      <c r="F647" t="inlineStr">
        <is>
          <t>VÄRMLANDS LÄN</t>
        </is>
      </c>
      <c r="G647" t="inlineStr">
        <is>
          <t>SÄFFLE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40487-2022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44819</v>
      </c>
      <c r="E648" s="1" t="n">
        <v>46316</v>
      </c>
      <c r="F648" t="inlineStr">
        <is>
          <t>VÄRMLANDS LÄN</t>
        </is>
      </c>
      <c r="G648" t="inlineStr">
        <is>
          <t>SÄFFLE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59429-2025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45989</v>
      </c>
      <c r="E649" s="1" t="n">
        <v>46316</v>
      </c>
      <c r="F649" t="inlineStr">
        <is>
          <t>VÄRMLANDS LÄN</t>
        </is>
      </c>
      <c r="G649" t="inlineStr">
        <is>
          <t>SÄFFLE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46288</v>
      </c>
      <c r="E650" s="1" t="n">
        <v>46316</v>
      </c>
      <c r="F650" t="inlineStr">
        <is>
          <t>VÄRMLANDS LÄN</t>
        </is>
      </c>
      <c r="G650" t="inlineStr">
        <is>
          <t>SÄFFLE</t>
        </is>
      </c>
      <c r="H650" t="inlineStr">
        <is>
          <t>Kyrkan</t>
        </is>
      </c>
      <c r="I650" t="n">
        <v>26.6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10597-2025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45721</v>
      </c>
      <c r="E651" s="1" t="n">
        <v>46316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58067-2024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45631</v>
      </c>
      <c r="E652" s="1" t="n">
        <v>46316</v>
      </c>
      <c r="F652" t="inlineStr">
        <is>
          <t>VÄRMLANDS LÄN</t>
        </is>
      </c>
      <c r="G652" t="inlineStr">
        <is>
          <t>SÄFFLE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47037-2024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45586</v>
      </c>
      <c r="E653" s="1" t="n">
        <v>46316</v>
      </c>
      <c r="F653" t="inlineStr">
        <is>
          <t>VÄRMLANDS LÄN</t>
        </is>
      </c>
      <c r="G653" t="inlineStr">
        <is>
          <t>SÄFFLE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21974-2023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45068</v>
      </c>
      <c r="E654" s="1" t="n">
        <v>46316</v>
      </c>
      <c r="F654" t="inlineStr">
        <is>
          <t>VÄRMLANDS LÄN</t>
        </is>
      </c>
      <c r="G654" t="inlineStr">
        <is>
          <t>SÄFFLE</t>
        </is>
      </c>
      <c r="I654" t="n">
        <v>11.8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36231-2024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45534</v>
      </c>
      <c r="E655" s="1" t="n">
        <v>46316</v>
      </c>
      <c r="F655" t="inlineStr">
        <is>
          <t>VÄRMLANDS LÄN</t>
        </is>
      </c>
      <c r="G655" t="inlineStr">
        <is>
          <t>SÄFFLE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22254-2023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46316</v>
      </c>
      <c r="F656" t="inlineStr">
        <is>
          <t>VÄRMLANDS LÄN</t>
        </is>
      </c>
      <c r="G656" t="inlineStr">
        <is>
          <t>SÄFFLE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44938</v>
      </c>
      <c r="E657" s="1" t="n">
        <v>46316</v>
      </c>
      <c r="F657" t="inlineStr">
        <is>
          <t>VÄRMLANDS LÄN</t>
        </is>
      </c>
      <c r="G657" t="inlineStr">
        <is>
          <t>SÄFFLE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27985-2022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44745</v>
      </c>
      <c r="E658" s="1" t="n">
        <v>46316</v>
      </c>
      <c r="F658" t="inlineStr">
        <is>
          <t>VÄRMLANDS LÄN</t>
        </is>
      </c>
      <c r="G658" t="inlineStr">
        <is>
          <t>SÄFFLE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39726-2026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46289</v>
      </c>
      <c r="E659" s="1" t="n">
        <v>46316</v>
      </c>
      <c r="F659" t="inlineStr">
        <is>
          <t>VÄRMLANDS LÄN</t>
        </is>
      </c>
      <c r="G659" t="inlineStr">
        <is>
          <t>SÄFFLE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45368</v>
      </c>
      <c r="E660" s="1" t="n">
        <v>46316</v>
      </c>
      <c r="F660" t="inlineStr">
        <is>
          <t>VÄRMLANDS LÄN</t>
        </is>
      </c>
      <c r="G660" t="inlineStr">
        <is>
          <t>SÄFFLE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23737-2024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45454</v>
      </c>
      <c r="E661" s="1" t="n">
        <v>46316</v>
      </c>
      <c r="F661" t="inlineStr">
        <is>
          <t>VÄRMLANDS LÄN</t>
        </is>
      </c>
      <c r="G661" t="inlineStr">
        <is>
          <t>SÄFFLE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46316</v>
      </c>
      <c r="F662" t="inlineStr">
        <is>
          <t>VÄRMLANDS LÄN</t>
        </is>
      </c>
      <c r="G662" t="inlineStr">
        <is>
          <t>SÄFFLE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46316</v>
      </c>
      <c r="F663" t="inlineStr">
        <is>
          <t>VÄRMLANDS LÄN</t>
        </is>
      </c>
      <c r="G663" t="inlineStr">
        <is>
          <t>SÄFFLE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49979-2024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45597</v>
      </c>
      <c r="E664" s="1" t="n">
        <v>46316</v>
      </c>
      <c r="F664" t="inlineStr">
        <is>
          <t>VÄRMLANDS LÄN</t>
        </is>
      </c>
      <c r="G664" t="inlineStr">
        <is>
          <t>SÄFFLE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50042-2024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45597</v>
      </c>
      <c r="E665" s="1" t="n">
        <v>46316</v>
      </c>
      <c r="F665" t="inlineStr">
        <is>
          <t>VÄRMLANDS LÄN</t>
        </is>
      </c>
      <c r="G665" t="inlineStr">
        <is>
          <t>SÄFFLE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50442-2022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44861</v>
      </c>
      <c r="E666" s="1" t="n">
        <v>46316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46316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45278</v>
      </c>
      <c r="E668" s="1" t="n">
        <v>46316</v>
      </c>
      <c r="F668" t="inlineStr">
        <is>
          <t>VÄRMLANDS LÄN</t>
        </is>
      </c>
      <c r="G668" t="inlineStr">
        <is>
          <t>SÄFFLE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30624-2024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45495</v>
      </c>
      <c r="E669" s="1" t="n">
        <v>46316</v>
      </c>
      <c r="F669" t="inlineStr">
        <is>
          <t>VÄRMLANDS LÄN</t>
        </is>
      </c>
      <c r="G669" t="inlineStr">
        <is>
          <t>SÄFFLE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40101-2026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46290</v>
      </c>
      <c r="E670" s="1" t="n">
        <v>46316</v>
      </c>
      <c r="F670" t="inlineStr">
        <is>
          <t>VÄRMLANDS LÄN</t>
        </is>
      </c>
      <c r="G670" t="inlineStr">
        <is>
          <t>SÄFFLE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46316</v>
      </c>
      <c r="F671" t="inlineStr">
        <is>
          <t>VÄRMLANDS LÄN</t>
        </is>
      </c>
      <c r="G671" t="inlineStr">
        <is>
          <t>SÄFFLE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46295</v>
      </c>
      <c r="E672" s="1" t="n">
        <v>46316</v>
      </c>
      <c r="F672" t="inlineStr">
        <is>
          <t>VÄRMLANDS LÄN</t>
        </is>
      </c>
      <c r="G672" t="inlineStr">
        <is>
          <t>SÄFFLE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46316</v>
      </c>
      <c r="F673" t="inlineStr">
        <is>
          <t>VÄRMLANDS LÄN</t>
        </is>
      </c>
      <c r="G673" t="inlineStr">
        <is>
          <t>SÄFFLE</t>
        </is>
      </c>
      <c r="I673" t="n">
        <v>6.8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46316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46316</v>
      </c>
      <c r="F675" t="inlineStr">
        <is>
          <t>VÄRMLANDS LÄN</t>
        </is>
      </c>
      <c r="G675" t="inlineStr">
        <is>
          <t>SÄFFLE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46316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32747-2024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45516</v>
      </c>
      <c r="E677" s="1" t="n">
        <v>46316</v>
      </c>
      <c r="F677" t="inlineStr">
        <is>
          <t>VÄRMLANDS LÄN</t>
        </is>
      </c>
      <c r="G677" t="inlineStr">
        <is>
          <t>SÄFFLE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32751-2024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45516</v>
      </c>
      <c r="E678" s="1" t="n">
        <v>46316</v>
      </c>
      <c r="F678" t="inlineStr">
        <is>
          <t>VÄRMLANDS LÄN</t>
        </is>
      </c>
      <c r="G678" t="inlineStr">
        <is>
          <t>SÄFFLE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56452-2023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45237</v>
      </c>
      <c r="E679" s="1" t="n">
        <v>46316</v>
      </c>
      <c r="F679" t="inlineStr">
        <is>
          <t>VÄRMLANDS LÄN</t>
        </is>
      </c>
      <c r="G679" t="inlineStr">
        <is>
          <t>SÄFFLE</t>
        </is>
      </c>
      <c r="I679" t="n">
        <v>7.1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53440-2023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45223</v>
      </c>
      <c r="E680" s="1" t="n">
        <v>46316</v>
      </c>
      <c r="F680" t="inlineStr">
        <is>
          <t>VÄRMLANDS LÄN</t>
        </is>
      </c>
      <c r="G680" t="inlineStr">
        <is>
          <t>SÄFFLE</t>
        </is>
      </c>
      <c r="I680" t="n">
        <v>19.1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46251</v>
      </c>
      <c r="E681" s="1" t="n">
        <v>46316</v>
      </c>
      <c r="F681" t="inlineStr">
        <is>
          <t>VÄRMLANDS LÄN</t>
        </is>
      </c>
      <c r="G681" t="inlineStr">
        <is>
          <t>SÄFFLE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46251</v>
      </c>
      <c r="E682" s="1" t="n">
        <v>46316</v>
      </c>
      <c r="F682" t="inlineStr">
        <is>
          <t>VÄRMLANDS LÄN</t>
        </is>
      </c>
      <c r="G682" t="inlineStr">
        <is>
          <t>SÄFFLE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46251</v>
      </c>
      <c r="E683" s="1" t="n">
        <v>46316</v>
      </c>
      <c r="F683" t="inlineStr">
        <is>
          <t>VÄRMLANDS LÄN</t>
        </is>
      </c>
      <c r="G683" t="inlineStr">
        <is>
          <t>SÄFFLE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46251</v>
      </c>
      <c r="E684" s="1" t="n">
        <v>46316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14010-2024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45392</v>
      </c>
      <c r="E685" s="1" t="n">
        <v>46316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40924-2026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46297</v>
      </c>
      <c r="E686" s="1" t="n">
        <v>46316</v>
      </c>
      <c r="F686" t="inlineStr">
        <is>
          <t>VÄRMLANDS LÄN</t>
        </is>
      </c>
      <c r="G686" t="inlineStr">
        <is>
          <t>SÄFFLE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45712</v>
      </c>
      <c r="E687" s="1" t="n">
        <v>46316</v>
      </c>
      <c r="F687" t="inlineStr">
        <is>
          <t>VÄRMLANDS LÄN</t>
        </is>
      </c>
      <c r="G687" t="inlineStr">
        <is>
          <t>SÄFFLE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34251-2026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46253</v>
      </c>
      <c r="E688" s="1" t="n">
        <v>46316</v>
      </c>
      <c r="F688" t="inlineStr">
        <is>
          <t>VÄRMLANDS LÄN</t>
        </is>
      </c>
      <c r="G688" t="inlineStr">
        <is>
          <t>SÄFFLE</t>
        </is>
      </c>
      <c r="I688" t="n">
        <v>39.3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45089</v>
      </c>
      <c r="E689" s="1" t="n">
        <v>46316</v>
      </c>
      <c r="F689" t="inlineStr">
        <is>
          <t>VÄRMLANDS LÄN</t>
        </is>
      </c>
      <c r="G689" t="inlineStr">
        <is>
          <t>SÄFFLE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53112-2022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44876</v>
      </c>
      <c r="E690" s="1" t="n">
        <v>46316</v>
      </c>
      <c r="F690" t="inlineStr">
        <is>
          <t>VÄRMLANDS LÄN</t>
        </is>
      </c>
      <c r="G690" t="inlineStr">
        <is>
          <t>SÄFFLE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24347-2024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45457</v>
      </c>
      <c r="E691" s="1" t="n">
        <v>46316</v>
      </c>
      <c r="F691" t="inlineStr">
        <is>
          <t>VÄRMLANDS LÄN</t>
        </is>
      </c>
      <c r="G691" t="inlineStr">
        <is>
          <t>SÄFFLE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46316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41232-2026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46316</v>
      </c>
      <c r="F693" t="inlineStr">
        <is>
          <t>VÄRMLANDS LÄN</t>
        </is>
      </c>
      <c r="G693" t="inlineStr">
        <is>
          <t>SÄFFLE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38764-2024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45547</v>
      </c>
      <c r="E694" s="1" t="n">
        <v>46316</v>
      </c>
      <c r="F694" t="inlineStr">
        <is>
          <t>VÄRMLANDS LÄN</t>
        </is>
      </c>
      <c r="G694" t="inlineStr">
        <is>
          <t>SÄFFLE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34628-2026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46316</v>
      </c>
      <c r="F695" t="inlineStr">
        <is>
          <t>VÄRMLANDS LÄN</t>
        </is>
      </c>
      <c r="G695" t="inlineStr">
        <is>
          <t>SÄFFLE</t>
        </is>
      </c>
      <c r="H695" t="inlineStr">
        <is>
          <t>Kyrkan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45707</v>
      </c>
      <c r="E696" s="1" t="n">
        <v>46316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37422-2023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46316</v>
      </c>
      <c r="F697" t="inlineStr">
        <is>
          <t>VÄRMLANDS LÄN</t>
        </is>
      </c>
      <c r="G697" t="inlineStr">
        <is>
          <t>SÄFFLE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53832-2022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44880</v>
      </c>
      <c r="E698" s="1" t="n">
        <v>46316</v>
      </c>
      <c r="F698" t="inlineStr">
        <is>
          <t>VÄRMLANDS LÄN</t>
        </is>
      </c>
      <c r="G698" t="inlineStr">
        <is>
          <t>SÄFFLE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58639-2024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45635</v>
      </c>
      <c r="E699" s="1" t="n">
        <v>46316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46316</v>
      </c>
      <c r="F700" t="inlineStr">
        <is>
          <t>VÄRMLANDS LÄN</t>
        </is>
      </c>
      <c r="G700" t="inlineStr">
        <is>
          <t>SÄFFLE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59203-2023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45253</v>
      </c>
      <c r="E701" s="1" t="n">
        <v>46316</v>
      </c>
      <c r="F701" t="inlineStr">
        <is>
          <t>VÄRMLANDS LÄN</t>
        </is>
      </c>
      <c r="G701" t="inlineStr">
        <is>
          <t>SÄFFLE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35070-2026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46258</v>
      </c>
      <c r="E702" s="1" t="n">
        <v>46316</v>
      </c>
      <c r="F702" t="inlineStr">
        <is>
          <t>VÄRMLANDS LÄN</t>
        </is>
      </c>
      <c r="G702" t="inlineStr">
        <is>
          <t>SÄFFLE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55847-2023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45233</v>
      </c>
      <c r="E703" s="1" t="n">
        <v>46316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55090-2022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46316</v>
      </c>
      <c r="F704" t="inlineStr">
        <is>
          <t>VÄRMLANDS LÄN</t>
        </is>
      </c>
      <c r="G704" t="inlineStr">
        <is>
          <t>SÄFFLE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55094-2022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44886</v>
      </c>
      <c r="E705" s="1" t="n">
        <v>46316</v>
      </c>
      <c r="F705" t="inlineStr">
        <is>
          <t>VÄRMLANDS LÄN</t>
        </is>
      </c>
      <c r="G705" t="inlineStr">
        <is>
          <t>SÄFFLE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42319-2023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45180</v>
      </c>
      <c r="E706" s="1" t="n">
        <v>46316</v>
      </c>
      <c r="F706" t="inlineStr">
        <is>
          <t>VÄRMLANDS LÄN</t>
        </is>
      </c>
      <c r="G706" t="inlineStr">
        <is>
          <t>SÄFFLE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45474</v>
      </c>
      <c r="E707" s="1" t="n">
        <v>46316</v>
      </c>
      <c r="F707" t="inlineStr">
        <is>
          <t>VÄRMLANDS LÄN</t>
        </is>
      </c>
      <c r="G707" t="inlineStr">
        <is>
          <t>SÄFFLE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45569</v>
      </c>
      <c r="E708" s="1" t="n">
        <v>46316</v>
      </c>
      <c r="F708" t="inlineStr">
        <is>
          <t>VÄRMLANDS LÄN</t>
        </is>
      </c>
      <c r="G708" t="inlineStr">
        <is>
          <t>SÄFFLE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10240-2023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44980</v>
      </c>
      <c r="E709" s="1" t="n">
        <v>46316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44952</v>
      </c>
      <c r="E710" s="1" t="n">
        <v>46316</v>
      </c>
      <c r="F710" t="inlineStr">
        <is>
          <t>VÄRMLANDS LÄN</t>
        </is>
      </c>
      <c r="G710" t="inlineStr">
        <is>
          <t>SÄFFLE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42094-2026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46304</v>
      </c>
      <c r="E711" s="1" t="n">
        <v>46316</v>
      </c>
      <c r="F711" t="inlineStr">
        <is>
          <t>VÄRMLANDS LÄN</t>
        </is>
      </c>
      <c r="G711" t="inlineStr">
        <is>
          <t>SÄFFLE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38291-2022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46316</v>
      </c>
      <c r="F712" t="inlineStr">
        <is>
          <t>VÄRMLANDS LÄN</t>
        </is>
      </c>
      <c r="G712" t="inlineStr">
        <is>
          <t>SÄFFLE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45095</v>
      </c>
      <c r="E713" s="1" t="n">
        <v>46316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35508-2026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46316</v>
      </c>
      <c r="F714" t="inlineStr">
        <is>
          <t>VÄRMLANDS LÄN</t>
        </is>
      </c>
      <c r="G714" t="inlineStr">
        <is>
          <t>SÄFFLE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62298-2023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45267</v>
      </c>
      <c r="E715" s="1" t="n">
        <v>46316</v>
      </c>
      <c r="F715" t="inlineStr">
        <is>
          <t>VÄRMLANDS LÄN</t>
        </is>
      </c>
      <c r="G715" t="inlineStr">
        <is>
          <t>SÄFFLE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45397</v>
      </c>
      <c r="E716" s="1" t="n">
        <v>46316</v>
      </c>
      <c r="F716" t="inlineStr">
        <is>
          <t>VÄRMLANDS LÄN</t>
        </is>
      </c>
      <c r="G716" t="inlineStr">
        <is>
          <t>SÄFFLE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30249-2022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44758</v>
      </c>
      <c r="E717" s="1" t="n">
        <v>46316</v>
      </c>
      <c r="F717" t="inlineStr">
        <is>
          <t>VÄRMLANDS LÄN</t>
        </is>
      </c>
      <c r="G717" t="inlineStr">
        <is>
          <t>SÄFFLE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35971-2026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46266</v>
      </c>
      <c r="E718" s="1" t="n">
        <v>46316</v>
      </c>
      <c r="F718" t="inlineStr">
        <is>
          <t>VÄRMLANDS LÄN</t>
        </is>
      </c>
      <c r="G718" t="inlineStr">
        <is>
          <t>SÄFFLE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46266</v>
      </c>
      <c r="E719" s="1" t="n">
        <v>46316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40759-2024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45558</v>
      </c>
      <c r="E720" s="1" t="n">
        <v>46316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7361-2025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45704</v>
      </c>
      <c r="E721" s="1" t="n">
        <v>46316</v>
      </c>
      <c r="F721" t="inlineStr">
        <is>
          <t>VÄRMLANDS LÄN</t>
        </is>
      </c>
      <c r="G721" t="inlineStr">
        <is>
          <t>SÄFFLE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52025-2024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45607</v>
      </c>
      <c r="E722" s="1" t="n">
        <v>46316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46266</v>
      </c>
      <c r="E723" s="1" t="n">
        <v>46316</v>
      </c>
      <c r="F723" t="inlineStr">
        <is>
          <t>VÄRMLANDS LÄN</t>
        </is>
      </c>
      <c r="G723" t="inlineStr">
        <is>
          <t>SÄFFLE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45740</v>
      </c>
      <c r="E724" s="1" t="n">
        <v>46316</v>
      </c>
      <c r="F724" t="inlineStr">
        <is>
          <t>VÄRMLANDS LÄN</t>
        </is>
      </c>
      <c r="G724" t="inlineStr">
        <is>
          <t>SÄFFLE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56552-2024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45625</v>
      </c>
      <c r="E725" s="1" t="n">
        <v>46316</v>
      </c>
      <c r="F725" t="inlineStr">
        <is>
          <t>VÄRMLANDS LÄN</t>
        </is>
      </c>
      <c r="G725" t="inlineStr">
        <is>
          <t>SÄFFLE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44346-2024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45573</v>
      </c>
      <c r="E726" s="1" t="n">
        <v>46316</v>
      </c>
      <c r="F726" t="inlineStr">
        <is>
          <t>VÄRMLANDS LÄN</t>
        </is>
      </c>
      <c r="G726" t="inlineStr">
        <is>
          <t>SÄFFLE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44581</v>
      </c>
      <c r="E727" s="1" t="n">
        <v>46316</v>
      </c>
      <c r="F727" t="inlineStr">
        <is>
          <t>VÄRMLANDS LÄN</t>
        </is>
      </c>
      <c r="G727" t="inlineStr">
        <is>
          <t>SÄFFLE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42555-2026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46308</v>
      </c>
      <c r="E728" s="1" t="n">
        <v>46316</v>
      </c>
      <c r="F728" t="inlineStr">
        <is>
          <t>VÄRMLANDS LÄN</t>
        </is>
      </c>
      <c r="G728" t="inlineStr">
        <is>
          <t>SÄFFLE</t>
        </is>
      </c>
      <c r="I728" t="n">
        <v>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43158-2026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46309</v>
      </c>
      <c r="E729" s="1" t="n">
        <v>46316</v>
      </c>
      <c r="F729" t="inlineStr">
        <is>
          <t>VÄRMLANDS LÄN</t>
        </is>
      </c>
      <c r="G729" t="inlineStr">
        <is>
          <t>SÄFFLE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1834-2023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44938</v>
      </c>
      <c r="E730" s="1" t="n">
        <v>46316</v>
      </c>
      <c r="F730" t="inlineStr">
        <is>
          <t>VÄRMLANDS LÄN</t>
        </is>
      </c>
      <c r="G730" t="inlineStr">
        <is>
          <t>SÄFFLE</t>
        </is>
      </c>
      <c r="I730" t="n">
        <v>10.7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43099-2024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45567</v>
      </c>
      <c r="E731" s="1" t="n">
        <v>46316</v>
      </c>
      <c r="F731" t="inlineStr">
        <is>
          <t>VÄRMLANDS LÄN</t>
        </is>
      </c>
      <c r="G731" t="inlineStr">
        <is>
          <t>SÄFFLE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32102-2023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45107</v>
      </c>
      <c r="E732" s="1" t="n">
        <v>46316</v>
      </c>
      <c r="F732" t="inlineStr">
        <is>
          <t>VÄRMLANDS LÄN</t>
        </is>
      </c>
      <c r="G732" t="inlineStr">
        <is>
          <t>SÄFFLE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45527</v>
      </c>
      <c r="E733" s="1" t="n">
        <v>46316</v>
      </c>
      <c r="F733" t="inlineStr">
        <is>
          <t>VÄRMLANDS LÄN</t>
        </is>
      </c>
      <c r="G733" t="inlineStr">
        <is>
          <t>SÄFFLE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42976-2026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46309</v>
      </c>
      <c r="E734" s="1" t="n">
        <v>46316</v>
      </c>
      <c r="F734" t="inlineStr">
        <is>
          <t>VÄRMLANDS LÄN</t>
        </is>
      </c>
      <c r="G734" t="inlineStr">
        <is>
          <t>SÄFFLE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67203-2021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44523</v>
      </c>
      <c r="E735" s="1" t="n">
        <v>46316</v>
      </c>
      <c r="F735" t="inlineStr">
        <is>
          <t>VÄRMLANDS LÄN</t>
        </is>
      </c>
      <c r="G735" t="inlineStr">
        <is>
          <t>SÄFFLE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42916-2026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46310</v>
      </c>
      <c r="E736" s="1" t="n">
        <v>46316</v>
      </c>
      <c r="F736" t="inlineStr">
        <is>
          <t>VÄRMLANDS LÄN</t>
        </is>
      </c>
      <c r="G736" t="inlineStr">
        <is>
          <t>SÄFFLE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42936-2026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46309</v>
      </c>
      <c r="E737" s="1" t="n">
        <v>46316</v>
      </c>
      <c r="F737" t="inlineStr">
        <is>
          <t>VÄRMLANDS LÄN</t>
        </is>
      </c>
      <c r="G737" t="inlineStr">
        <is>
          <t>SÄFFLE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43151-2026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46309</v>
      </c>
      <c r="E738" s="1" t="n">
        <v>46316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11626-2023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44994</v>
      </c>
      <c r="E739" s="1" t="n">
        <v>46316</v>
      </c>
      <c r="F739" t="inlineStr">
        <is>
          <t>VÄRMLANDS LÄN</t>
        </is>
      </c>
      <c r="G739" t="inlineStr">
        <is>
          <t>SÄFFLE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43155-2026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46309</v>
      </c>
      <c r="E740" s="1" t="n">
        <v>46316</v>
      </c>
      <c r="F740" t="inlineStr">
        <is>
          <t>VÄRMLANDS LÄN</t>
        </is>
      </c>
      <c r="G740" t="inlineStr">
        <is>
          <t>SÄFFLE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46311</v>
      </c>
      <c r="E741" s="1" t="n">
        <v>46316</v>
      </c>
      <c r="F741" t="inlineStr">
        <is>
          <t>VÄRMLANDS LÄN</t>
        </is>
      </c>
      <c r="G741" t="inlineStr">
        <is>
          <t>SÄFFLE</t>
        </is>
      </c>
      <c r="H741" t="inlineStr">
        <is>
          <t>Kyrkan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45685</v>
      </c>
      <c r="E742" s="1" t="n">
        <v>46316</v>
      </c>
      <c r="F742" t="inlineStr">
        <is>
          <t>VÄRMLANDS LÄN</t>
        </is>
      </c>
      <c r="G742" t="inlineStr">
        <is>
          <t>SÄFFLE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45728</v>
      </c>
      <c r="E743" s="1" t="n">
        <v>46316</v>
      </c>
      <c r="F743" t="inlineStr">
        <is>
          <t>VÄRMLANDS LÄN</t>
        </is>
      </c>
      <c r="G743" t="inlineStr">
        <is>
          <t>SÄFFLE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29508-2023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46316</v>
      </c>
      <c r="F744" t="inlineStr">
        <is>
          <t>VÄRMLANDS LÄN</t>
        </is>
      </c>
      <c r="G744" t="inlineStr">
        <is>
          <t>SÄFFLE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6768-2025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45700</v>
      </c>
      <c r="E745" s="1" t="n">
        <v>46316</v>
      </c>
      <c r="F745" t="inlineStr">
        <is>
          <t>VÄRMLANDS LÄN</t>
        </is>
      </c>
      <c r="G745" t="inlineStr">
        <is>
          <t>SÄFFLE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36464-2026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46269</v>
      </c>
      <c r="E746" s="1" t="n">
        <v>46316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36966-2026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46273</v>
      </c>
      <c r="E747" s="1" t="n">
        <v>46316</v>
      </c>
      <c r="F747" t="inlineStr">
        <is>
          <t>VÄRMLANDS LÄN</t>
        </is>
      </c>
      <c r="G747" t="inlineStr">
        <is>
          <t>SÄFFLE</t>
        </is>
      </c>
      <c r="I747" t="n">
        <v>8.1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43398-2026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46314</v>
      </c>
      <c r="E748" s="1" t="n">
        <v>46316</v>
      </c>
      <c r="F748" t="inlineStr">
        <is>
          <t>VÄRMLANDS LÄN</t>
        </is>
      </c>
      <c r="G748" t="inlineStr">
        <is>
          <t>SÄFFLE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43402-2026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46314</v>
      </c>
      <c r="E749" s="1" t="n">
        <v>46316</v>
      </c>
      <c r="F749" t="inlineStr">
        <is>
          <t>VÄRMLANDS LÄN</t>
        </is>
      </c>
      <c r="G749" t="inlineStr">
        <is>
          <t>SÄFFLE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46314</v>
      </c>
      <c r="E750" s="1" t="n">
        <v>46316</v>
      </c>
      <c r="F750" t="inlineStr">
        <is>
          <t>VÄRMLANDS LÄN</t>
        </is>
      </c>
      <c r="G750" t="inlineStr">
        <is>
          <t>SÄFFLE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46316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36972-2026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46273</v>
      </c>
      <c r="E752" s="1" t="n">
        <v>46316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16802-2026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46113</v>
      </c>
      <c r="E753" s="1" t="n">
        <v>46316</v>
      </c>
      <c r="F753" t="inlineStr">
        <is>
          <t>VÄRMLANDS LÄN</t>
        </is>
      </c>
      <c r="G753" t="inlineStr">
        <is>
          <t>SÄFFLE</t>
        </is>
      </c>
      <c r="I753" t="n">
        <v>16.2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44929</v>
      </c>
      <c r="E754" s="1" t="n">
        <v>46316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18700-2024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45426</v>
      </c>
      <c r="E755" s="1" t="n">
        <v>46316</v>
      </c>
      <c r="F755" t="inlineStr">
        <is>
          <t>VÄRMLANDS LÄN</t>
        </is>
      </c>
      <c r="G755" t="inlineStr">
        <is>
          <t>SÄFFLE</t>
        </is>
      </c>
      <c r="I755" t="n">
        <v>10.8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53303-2023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45229</v>
      </c>
      <c r="E756" s="1" t="n">
        <v>46316</v>
      </c>
      <c r="F756" t="inlineStr">
        <is>
          <t>VÄRMLANDS LÄN</t>
        </is>
      </c>
      <c r="G756" t="inlineStr">
        <is>
          <t>SÄFFLE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45165-2023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45191</v>
      </c>
      <c r="E757" s="1" t="n">
        <v>46316</v>
      </c>
      <c r="F757" t="inlineStr">
        <is>
          <t>VÄRMLANDS LÄN</t>
        </is>
      </c>
      <c r="G757" t="inlineStr">
        <is>
          <t>SÄFFLE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45167-2023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45191</v>
      </c>
      <c r="E758" s="1" t="n">
        <v>46316</v>
      </c>
      <c r="F758" t="inlineStr">
        <is>
          <t>VÄRMLANDS LÄN</t>
        </is>
      </c>
      <c r="G758" t="inlineStr">
        <is>
          <t>SÄFFLE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44959</v>
      </c>
      <c r="E759" s="1" t="n">
        <v>46316</v>
      </c>
      <c r="F759" t="inlineStr">
        <is>
          <t>VÄRMLANDS LÄN</t>
        </is>
      </c>
      <c r="G759" t="inlineStr">
        <is>
          <t>SÄFFLE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56498-2023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45237</v>
      </c>
      <c r="E760" s="1" t="n">
        <v>46316</v>
      </c>
      <c r="F760" t="inlineStr">
        <is>
          <t>VÄRMLANDS LÄN</t>
        </is>
      </c>
      <c r="G760" t="inlineStr">
        <is>
          <t>SÄFFLE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44921</v>
      </c>
      <c r="E761" s="1" t="n">
        <v>46316</v>
      </c>
      <c r="F761" t="inlineStr">
        <is>
          <t>VÄRMLANDS LÄN</t>
        </is>
      </c>
      <c r="G761" t="inlineStr">
        <is>
          <t>SÄFFLE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10354-2025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45720</v>
      </c>
      <c r="E762" s="1" t="n">
        <v>46316</v>
      </c>
      <c r="F762" t="inlineStr">
        <is>
          <t>VÄRMLANDS LÄN</t>
        </is>
      </c>
      <c r="G762" t="inlineStr">
        <is>
          <t>SÄFFLE</t>
        </is>
      </c>
      <c r="H762" t="inlineStr">
        <is>
          <t>Kyrkan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45692</v>
      </c>
      <c r="E763" s="1" t="n">
        <v>46316</v>
      </c>
      <c r="F763" t="inlineStr">
        <is>
          <t>VÄRMLANDS LÄN</t>
        </is>
      </c>
      <c r="G763" t="inlineStr">
        <is>
          <t>SÄFFLE</t>
        </is>
      </c>
      <c r="I763" t="n">
        <v>19.2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45692</v>
      </c>
      <c r="E764" s="1" t="n">
        <v>46316</v>
      </c>
      <c r="F764" t="inlineStr">
        <is>
          <t>VÄRMLANDS LÄN</t>
        </is>
      </c>
      <c r="G764" t="inlineStr">
        <is>
          <t>SÄFFLE</t>
        </is>
      </c>
      <c r="I764" t="n">
        <v>20.8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17505-2022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44679</v>
      </c>
      <c r="E765" s="1" t="n">
        <v>46316</v>
      </c>
      <c r="F765" t="inlineStr">
        <is>
          <t>VÄRMLANDS LÄN</t>
        </is>
      </c>
      <c r="G765" t="inlineStr">
        <is>
          <t>SÄFFLE</t>
        </is>
      </c>
      <c r="I765" t="n">
        <v>13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21563-2023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45063</v>
      </c>
      <c r="E766" s="1" t="n">
        <v>46316</v>
      </c>
      <c r="F766" t="inlineStr">
        <is>
          <t>VÄRMLANDS LÄN</t>
        </is>
      </c>
      <c r="G766" t="inlineStr">
        <is>
          <t>SÄFFLE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45420</v>
      </c>
      <c r="E767" s="1" t="n">
        <v>46316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8909-2023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44973</v>
      </c>
      <c r="E768" s="1" t="n">
        <v>46316</v>
      </c>
      <c r="F768" t="inlineStr">
        <is>
          <t>VÄRMLANDS LÄN</t>
        </is>
      </c>
      <c r="G768" t="inlineStr">
        <is>
          <t>SÄFFLE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32968-2024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45517</v>
      </c>
      <c r="E769" s="1" t="n">
        <v>46316</v>
      </c>
      <c r="F769" t="inlineStr">
        <is>
          <t>VÄRMLANDS LÄN</t>
        </is>
      </c>
      <c r="G769" t="inlineStr">
        <is>
          <t>SÄFFLE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45681</v>
      </c>
      <c r="E770" s="1" t="n">
        <v>46316</v>
      </c>
      <c r="F770" t="inlineStr">
        <is>
          <t>VÄRMLANDS LÄN</t>
        </is>
      </c>
      <c r="G770" t="inlineStr">
        <is>
          <t>SÄFFLE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13029-2024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45385</v>
      </c>
      <c r="E771" s="1" t="n">
        <v>46316</v>
      </c>
      <c r="F771" t="inlineStr">
        <is>
          <t>VÄRMLANDS LÄN</t>
        </is>
      </c>
      <c r="G771" t="inlineStr">
        <is>
          <t>SÄFFLE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30387-2024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45491</v>
      </c>
      <c r="E772" s="1" t="n">
        <v>46316</v>
      </c>
      <c r="F772" t="inlineStr">
        <is>
          <t>VÄRMLANDS LÄN</t>
        </is>
      </c>
      <c r="G772" t="inlineStr">
        <is>
          <t>SÄFFLE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21396-2024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45441</v>
      </c>
      <c r="E773" s="1" t="n">
        <v>46316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23055-2023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45075</v>
      </c>
      <c r="E774" s="1" t="n">
        <v>46316</v>
      </c>
      <c r="F774" t="inlineStr">
        <is>
          <t>VÄRMLANDS LÄN</t>
        </is>
      </c>
      <c r="G774" t="inlineStr">
        <is>
          <t>SÄFFLE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16484-2022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44671</v>
      </c>
      <c r="E775" s="1" t="n">
        <v>46316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21492-2023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45063</v>
      </c>
      <c r="E776" s="1" t="n">
        <v>46316</v>
      </c>
      <c r="F776" t="inlineStr">
        <is>
          <t>VÄRMLANDS LÄN</t>
        </is>
      </c>
      <c r="G776" t="inlineStr">
        <is>
          <t>SÄFFLE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8138-2025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45707</v>
      </c>
      <c r="E777" s="1" t="n">
        <v>46316</v>
      </c>
      <c r="F777" t="inlineStr">
        <is>
          <t>VÄRMLANDS LÄN</t>
        </is>
      </c>
      <c r="G777" t="inlineStr">
        <is>
          <t>SÄFFLE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18228-2023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45040</v>
      </c>
      <c r="E778" s="1" t="n">
        <v>46316</v>
      </c>
      <c r="F778" t="inlineStr">
        <is>
          <t>VÄRMLANDS LÄN</t>
        </is>
      </c>
      <c r="G778" t="inlineStr">
        <is>
          <t>SÄFFLE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10322-2024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45365</v>
      </c>
      <c r="E779" s="1" t="n">
        <v>46316</v>
      </c>
      <c r="F779" t="inlineStr">
        <is>
          <t>VÄRMLANDS LÄN</t>
        </is>
      </c>
      <c r="G779" t="inlineStr">
        <is>
          <t>SÄFFLE</t>
        </is>
      </c>
      <c r="I779" t="n">
        <v>20.7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64824-2023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45281</v>
      </c>
      <c r="E780" s="1" t="n">
        <v>46316</v>
      </c>
      <c r="F780" t="inlineStr">
        <is>
          <t>VÄRMLANDS LÄN</t>
        </is>
      </c>
      <c r="G780" t="inlineStr">
        <is>
          <t>SÄFFLE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27815-2023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45098</v>
      </c>
      <c r="E781" s="1" t="n">
        <v>46316</v>
      </c>
      <c r="F781" t="inlineStr">
        <is>
          <t>VÄRMLANDS LÄN</t>
        </is>
      </c>
      <c r="G781" t="inlineStr">
        <is>
          <t>SÄFFLE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27821-2023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45098</v>
      </c>
      <c r="E782" s="1" t="n">
        <v>46316</v>
      </c>
      <c r="F782" t="inlineStr">
        <is>
          <t>VÄRMLANDS LÄN</t>
        </is>
      </c>
      <c r="G782" t="inlineStr">
        <is>
          <t>SÄFFLE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13292-2024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45386</v>
      </c>
      <c r="E783" s="1" t="n">
        <v>46316</v>
      </c>
      <c r="F783" t="inlineStr">
        <is>
          <t>VÄRMLANDS LÄN</t>
        </is>
      </c>
      <c r="G783" t="inlineStr">
        <is>
          <t>SÄFFLE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64061-2021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44509</v>
      </c>
      <c r="E784" s="1" t="n">
        <v>46316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12134-2023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46316</v>
      </c>
      <c r="F785" t="inlineStr">
        <is>
          <t>VÄRMLANDS LÄN</t>
        </is>
      </c>
      <c r="G785" t="inlineStr">
        <is>
          <t>SÄFFLE</t>
        </is>
      </c>
      <c r="I785" t="n">
        <v>11.1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44574</v>
      </c>
      <c r="E786" s="1" t="n">
        <v>46316</v>
      </c>
      <c r="F786" t="inlineStr">
        <is>
          <t>VÄRMLANDS LÄN</t>
        </is>
      </c>
      <c r="G786" t="inlineStr">
        <is>
          <t>SÄFFLE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9612-2024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45361</v>
      </c>
      <c r="E787" s="1" t="n">
        <v>46316</v>
      </c>
      <c r="F787" t="inlineStr">
        <is>
          <t>VÄRMLANDS LÄN</t>
        </is>
      </c>
      <c r="G787" t="inlineStr">
        <is>
          <t>SÄFFLE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45314</v>
      </c>
      <c r="E788" s="1" t="n">
        <v>46316</v>
      </c>
      <c r="F788" t="inlineStr">
        <is>
          <t>VÄRMLANDS LÄN</t>
        </is>
      </c>
      <c r="G788" t="inlineStr">
        <is>
          <t>SÄFFLE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20520-2023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45057</v>
      </c>
      <c r="E789" s="1" t="n">
        <v>46316</v>
      </c>
      <c r="F789" t="inlineStr">
        <is>
          <t>VÄRMLANDS LÄN</t>
        </is>
      </c>
      <c r="G789" t="inlineStr">
        <is>
          <t>SÄFFLE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51052-2022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44868</v>
      </c>
      <c r="E790" s="1" t="n">
        <v>46316</v>
      </c>
      <c r="F790" t="inlineStr">
        <is>
          <t>VÄRMLANDS LÄN</t>
        </is>
      </c>
      <c r="G790" t="inlineStr">
        <is>
          <t>SÄFFLE</t>
        </is>
      </c>
      <c r="I790" t="n">
        <v>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19273-2025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45769</v>
      </c>
      <c r="E791" s="1" t="n">
        <v>46316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11.6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36001-2023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46316</v>
      </c>
      <c r="F792" t="inlineStr">
        <is>
          <t>VÄRMLANDS LÄN</t>
        </is>
      </c>
      <c r="G792" t="inlineStr">
        <is>
          <t>SÄFFLE</t>
        </is>
      </c>
      <c r="I792" t="n">
        <v>8.300000000000001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63080-2023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45273</v>
      </c>
      <c r="E793" s="1" t="n">
        <v>46316</v>
      </c>
      <c r="F793" t="inlineStr">
        <is>
          <t>VÄRMLANDS LÄN</t>
        </is>
      </c>
      <c r="G793" t="inlineStr">
        <is>
          <t>SÄFFLE</t>
        </is>
      </c>
      <c r="I793" t="n">
        <v>11.2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2885-2025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45677</v>
      </c>
      <c r="E794" s="1" t="n">
        <v>46316</v>
      </c>
      <c r="F794" t="inlineStr">
        <is>
          <t>VÄRMLANDS LÄN</t>
        </is>
      </c>
      <c r="G794" t="inlineStr">
        <is>
          <t>SÄFFLE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18106-2023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45040</v>
      </c>
      <c r="E795" s="1" t="n">
        <v>46316</v>
      </c>
      <c r="F795" t="inlineStr">
        <is>
          <t>VÄRMLANDS LÄN</t>
        </is>
      </c>
      <c r="G795" t="inlineStr">
        <is>
          <t>SÄFFLE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45393</v>
      </c>
      <c r="E796" s="1" t="n">
        <v>46316</v>
      </c>
      <c r="F796" t="inlineStr">
        <is>
          <t>VÄRMLANDS LÄN</t>
        </is>
      </c>
      <c r="G796" t="inlineStr">
        <is>
          <t>SÄFFLE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10379-2022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44623</v>
      </c>
      <c r="E797" s="1" t="n">
        <v>46316</v>
      </c>
      <c r="F797" t="inlineStr">
        <is>
          <t>VÄRMLANDS LÄN</t>
        </is>
      </c>
      <c r="G797" t="inlineStr">
        <is>
          <t>SÄFFLE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45647-2023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45194</v>
      </c>
      <c r="E798" s="1" t="n">
        <v>46316</v>
      </c>
      <c r="F798" t="inlineStr">
        <is>
          <t>VÄRMLANDS LÄN</t>
        </is>
      </c>
      <c r="G798" t="inlineStr">
        <is>
          <t>SÄFFLE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45672</v>
      </c>
      <c r="E799" s="1" t="n">
        <v>46316</v>
      </c>
      <c r="F799" t="inlineStr">
        <is>
          <t>VÄRMLANDS LÄN</t>
        </is>
      </c>
      <c r="G799" t="inlineStr">
        <is>
          <t>SÄFFLE</t>
        </is>
      </c>
      <c r="I799" t="n">
        <v>46.5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12599-2024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45380</v>
      </c>
      <c r="E800" s="1" t="n">
        <v>46316</v>
      </c>
      <c r="F800" t="inlineStr">
        <is>
          <t>VÄRMLANDS LÄN</t>
        </is>
      </c>
      <c r="G800" t="inlineStr">
        <is>
          <t>SÄFFLE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21745-2025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45783</v>
      </c>
      <c r="E801" s="1" t="n">
        <v>46316</v>
      </c>
      <c r="F801" t="inlineStr">
        <is>
          <t>VÄRMLANDS LÄN</t>
        </is>
      </c>
      <c r="G801" t="inlineStr">
        <is>
          <t>SÄFFLE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10697-2024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46316</v>
      </c>
      <c r="F802" t="inlineStr">
        <is>
          <t>VÄRMLANDS LÄN</t>
        </is>
      </c>
      <c r="G802" t="inlineStr">
        <is>
          <t>SÄFFLE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18925-2024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45427</v>
      </c>
      <c r="E803" s="1" t="n">
        <v>46316</v>
      </c>
      <c r="F803" t="inlineStr">
        <is>
          <t>VÄRMLANDS LÄN</t>
        </is>
      </c>
      <c r="G803" t="inlineStr">
        <is>
          <t>SÄFFLE</t>
        </is>
      </c>
      <c r="I803" t="n">
        <v>7.7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40518-2024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45555</v>
      </c>
      <c r="E804" s="1" t="n">
        <v>46316</v>
      </c>
      <c r="F804" t="inlineStr">
        <is>
          <t>VÄRMLANDS LÄN</t>
        </is>
      </c>
      <c r="G804" t="inlineStr">
        <is>
          <t>SÄFFLE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21980-2025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45784</v>
      </c>
      <c r="E805" s="1" t="n">
        <v>46316</v>
      </c>
      <c r="F805" t="inlineStr">
        <is>
          <t>VÄRMLANDS LÄN</t>
        </is>
      </c>
      <c r="G805" t="inlineStr">
        <is>
          <t>SÄFFLE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45681</v>
      </c>
      <c r="E806" s="1" t="n">
        <v>46316</v>
      </c>
      <c r="F806" t="inlineStr">
        <is>
          <t>VÄRMLANDS LÄN</t>
        </is>
      </c>
      <c r="G806" t="inlineStr">
        <is>
          <t>SÄFFLE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61819-2024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45646</v>
      </c>
      <c r="E807" s="1" t="n">
        <v>46316</v>
      </c>
      <c r="F807" t="inlineStr">
        <is>
          <t>VÄRMLANDS LÄN</t>
        </is>
      </c>
      <c r="G807" t="inlineStr">
        <is>
          <t>SÄFFLE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13533-2025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45736</v>
      </c>
      <c r="E808" s="1" t="n">
        <v>46316</v>
      </c>
      <c r="F808" t="inlineStr">
        <is>
          <t>VÄRMLANDS LÄN</t>
        </is>
      </c>
      <c r="G808" t="inlineStr">
        <is>
          <t>SÄFFLE</t>
        </is>
      </c>
      <c r="I808" t="n">
        <v>8.5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10350-2025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45720</v>
      </c>
      <c r="E809" s="1" t="n">
        <v>46316</v>
      </c>
      <c r="F809" t="inlineStr">
        <is>
          <t>VÄRMLANDS LÄN</t>
        </is>
      </c>
      <c r="G809" t="inlineStr">
        <is>
          <t>SÄFFLE</t>
        </is>
      </c>
      <c r="H809" t="inlineStr">
        <is>
          <t>Kyrkan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55093-2022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44881</v>
      </c>
      <c r="E810" s="1" t="n">
        <v>46316</v>
      </c>
      <c r="F810" t="inlineStr">
        <is>
          <t>VÄRMLANDS LÄN</t>
        </is>
      </c>
      <c r="G810" t="inlineStr">
        <is>
          <t>SÄFFLE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46316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46316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46316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46316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46316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46316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46316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46316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44579</v>
      </c>
      <c r="E821" s="1" t="n">
        <v>46316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10155-2021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46316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601-2024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46316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10202-2021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296-2022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44579</v>
      </c>
      <c r="E825" s="1" t="n">
        <v>46316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36.8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46316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46316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46316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46316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46316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46316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2026-10-21T02:01:38Z</dcterms:created>
  <dcterms:modified xmlns:dcterms="http://purl.org/dc/terms/" xmlns:xsi="http://www.w3.org/2001/XMLSchema-instance" xsi:type="dcterms:W3CDTF">2026-10-21T02:01:39Z</dcterms:modified>
</cp:coreProperties>
</file>