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46221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s="2" t="inlineStr">
        <is>
          <t>Klockgentiana
Svedjenäva
Svinrot
Kamjordstjärna</t>
        </is>
      </c>
      <c r="V5">
        <f>HYPERLINK("https://klasma.github.io/Logging_1785/artfynd/A 50956-2022 artfynd.xlsx", "A 50956-2022")</f>
        <v/>
      </c>
      <c r="W5">
        <f>HYPERLINK("https://klasma.github.io/Logging_1785/kartor/A 50956-2022 karta.png", "A 50956-2022")</f>
        <v/>
      </c>
      <c r="Y5">
        <f>HYPERLINK("https://klasma.github.io/Logging_1785/klagomål/A 50956-2022 FSC-klagomål.docx", "A 50956-2022")</f>
        <v/>
      </c>
      <c r="Z5">
        <f>HYPERLINK("https://klasma.github.io/Logging_1785/klagomålsmail/A 50956-2022 FSC-klagomål mail.docx", "A 50956-2022")</f>
        <v/>
      </c>
      <c r="AA5">
        <f>HYPERLINK("https://klasma.github.io/Logging_1785/tillsyn/A 50956-2022 tillsynsbegäran.docx", "A 50956-2022")</f>
        <v/>
      </c>
      <c r="AB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46221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Gullklöver
Gulsparv
Havsörn
Sångsvan</t>
        </is>
      </c>
      <c r="V6">
        <f>HYPERLINK("https://klasma.github.io/Logging_1785/artfynd/A 11744-2025 artfynd.xlsx", "A 11744-2025")</f>
        <v/>
      </c>
      <c r="W6">
        <f>HYPERLINK("https://klasma.github.io/Logging_1785/kartor/A 11744-2025 karta.png", "A 11744-2025")</f>
        <v/>
      </c>
      <c r="Y6">
        <f>HYPERLINK("https://klasma.github.io/Logging_1785/klagomål/A 11744-2025 FSC-klagomål.docx", "A 11744-2025")</f>
        <v/>
      </c>
      <c r="Z6">
        <f>HYPERLINK("https://klasma.github.io/Logging_1785/klagomålsmail/A 11744-2025 FSC-klagomål mail.docx", "A 11744-2025")</f>
        <v/>
      </c>
      <c r="AA6">
        <f>HYPERLINK("https://klasma.github.io/Logging_1785/tillsyn/A 11744-2025 tillsynsbegäran.docx", "A 11744-2025")</f>
        <v/>
      </c>
      <c r="AB6">
        <f>HYPERLINK("https://klasma.github.io/Logging_1785/tillsynsmail/A 11744-2025 tillsynsbegäran mail.docx", "A 11744-2025")</f>
        <v/>
      </c>
      <c r="AC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46221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Garnlav
Bårdlav
Stuplav</t>
        </is>
      </c>
      <c r="V8">
        <f>HYPERLINK("https://klasma.github.io/Logging_1785/artfynd/A 87-2022 artfynd.xlsx", "A 87-2022")</f>
        <v/>
      </c>
      <c r="W8">
        <f>HYPERLINK("https://klasma.github.io/Logging_1785/kartor/A 87-2022 karta.png", "A 87-2022")</f>
        <v/>
      </c>
      <c r="Y8">
        <f>HYPERLINK("https://klasma.github.io/Logging_1785/klagomål/A 87-2022 FSC-klagomål.docx", "A 87-2022")</f>
        <v/>
      </c>
      <c r="Z8">
        <f>HYPERLINK("https://klasma.github.io/Logging_1785/klagomålsmail/A 87-2022 FSC-klagomål mail.docx", "A 87-2022")</f>
        <v/>
      </c>
      <c r="AA8">
        <f>HYPERLINK("https://klasma.github.io/Logging_1785/tillsyn/A 87-2022 tillsynsbegäran.docx", "A 87-2022")</f>
        <v/>
      </c>
      <c r="AB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46221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Gränsticka
Skarp dropptaggsvamp
Vedticka</t>
        </is>
      </c>
      <c r="V9">
        <f>HYPERLINK("https://klasma.github.io/Logging_1785/artfynd/A 48855-2023 artfynd.xlsx", "A 48855-2023")</f>
        <v/>
      </c>
      <c r="W9">
        <f>HYPERLINK("https://klasma.github.io/Logging_1785/kartor/A 48855-2023 karta.png", "A 48855-2023")</f>
        <v/>
      </c>
      <c r="Y9">
        <f>HYPERLINK("https://klasma.github.io/Logging_1785/klagomål/A 48855-2023 FSC-klagomål.docx", "A 48855-2023")</f>
        <v/>
      </c>
      <c r="Z9">
        <f>HYPERLINK("https://klasma.github.io/Logging_1785/klagomålsmail/A 48855-2023 FSC-klagomål mail.docx", "A 48855-2023")</f>
        <v/>
      </c>
      <c r="AA9">
        <f>HYPERLINK("https://klasma.github.io/Logging_1785/tillsyn/A 48855-2023 tillsynsbegäran.docx", "A 48855-2023")</f>
        <v/>
      </c>
      <c r="AB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46221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46221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Svinrot</t>
        </is>
      </c>
      <c r="V11">
        <f>HYPERLINK("https://klasma.github.io/Logging_1785/artfynd/A 46893-2021 artfynd.xlsx", "A 46893-2021")</f>
        <v/>
      </c>
      <c r="W11">
        <f>HYPERLINK("https://klasma.github.io/Logging_1785/kartor/A 46893-2021 karta.png", "A 46893-2021")</f>
        <v/>
      </c>
      <c r="Y11">
        <f>HYPERLINK("https://klasma.github.io/Logging_1785/klagomål/A 46893-2021 FSC-klagomål.docx", "A 46893-2021")</f>
        <v/>
      </c>
      <c r="Z11">
        <f>HYPERLINK("https://klasma.github.io/Logging_1785/klagomålsmail/A 46893-2021 FSC-klagomål mail.docx", "A 46893-2021")</f>
        <v/>
      </c>
      <c r="AA11">
        <f>HYPERLINK("https://klasma.github.io/Logging_1785/tillsyn/A 46893-2021 tillsynsbegäran.docx", "A 46893-2021")</f>
        <v/>
      </c>
      <c r="AB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46221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Tjäder
Havsörn</t>
        </is>
      </c>
      <c r="V12">
        <f>HYPERLINK("https://klasma.github.io/Logging_1785/artfynd/A 56489-2023 artfynd.xlsx", "A 56489-2023")</f>
        <v/>
      </c>
      <c r="W12">
        <f>HYPERLINK("https://klasma.github.io/Logging_1785/kartor/A 56489-2023 karta.png", "A 56489-2023")</f>
        <v/>
      </c>
      <c r="Y12">
        <f>HYPERLINK("https://klasma.github.io/Logging_1785/klagomål/A 56489-2023 FSC-klagomål.docx", "A 56489-2023")</f>
        <v/>
      </c>
      <c r="Z12">
        <f>HYPERLINK("https://klasma.github.io/Logging_1785/klagomålsmail/A 56489-2023 FSC-klagomål mail.docx", "A 56489-2023")</f>
        <v/>
      </c>
      <c r="AA12">
        <f>HYPERLINK("https://klasma.github.io/Logging_1785/tillsyn/A 56489-2023 tillsynsbegäran.docx", "A 56489-2023")</f>
        <v/>
      </c>
      <c r="AB12">
        <f>HYPERLINK("https://klasma.github.io/Logging_1785/tillsynsmail/A 56489-2023 tillsynsbegäran mail.docx", "A 56489-2023")</f>
        <v/>
      </c>
      <c r="AC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46221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Gullpudra
Vätteros</t>
        </is>
      </c>
      <c r="V13">
        <f>HYPERLINK("https://klasma.github.io/Logging_1785/artfynd/A 1401-2024 artfynd.xlsx", "A 1401-2024")</f>
        <v/>
      </c>
      <c r="W13">
        <f>HYPERLINK("https://klasma.github.io/Logging_1785/kartor/A 1401-2024 karta.png", "A 1401-2024")</f>
        <v/>
      </c>
      <c r="Y13">
        <f>HYPERLINK("https://klasma.github.io/Logging_1785/klagomål/A 1401-2024 FSC-klagomål.docx", "A 1401-2024")</f>
        <v/>
      </c>
      <c r="Z13">
        <f>HYPERLINK("https://klasma.github.io/Logging_1785/klagomålsmail/A 1401-2024 FSC-klagomål mail.docx", "A 1401-2024")</f>
        <v/>
      </c>
      <c r="AA13">
        <f>HYPERLINK("https://klasma.github.io/Logging_1785/tillsyn/A 1401-2024 tillsynsbegäran.docx", "A 1401-2024")</f>
        <v/>
      </c>
      <c r="AB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46221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s="2" t="inlineStr">
        <is>
          <t>Gullklöver
Iller</t>
        </is>
      </c>
      <c r="V14">
        <f>HYPERLINK("https://klasma.github.io/Logging_1785/artfynd/A 42316-2025 artfynd.xlsx", "A 42316-2025")</f>
        <v/>
      </c>
      <c r="W14">
        <f>HYPERLINK("https://klasma.github.io/Logging_1785/kartor/A 42316-2025 karta.png", "A 42316-2025")</f>
        <v/>
      </c>
      <c r="Y14">
        <f>HYPERLINK("https://klasma.github.io/Logging_1785/klagomål/A 42316-2025 FSC-klagomål.docx", "A 42316-2025")</f>
        <v/>
      </c>
      <c r="Z14">
        <f>HYPERLINK("https://klasma.github.io/Logging_1785/klagomålsmail/A 42316-2025 FSC-klagomål mail.docx", "A 42316-2025")</f>
        <v/>
      </c>
      <c r="AA14">
        <f>HYPERLINK("https://klasma.github.io/Logging_1785/tillsyn/A 42316-2025 tillsynsbegäran.docx", "A 42316-2025")</f>
        <v/>
      </c>
      <c r="AB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46221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s="2" t="inlineStr">
        <is>
          <t>Slåttergubbe
Korallrot</t>
        </is>
      </c>
      <c r="V15">
        <f>HYPERLINK("https://klasma.github.io/Logging_1785/artfynd/A 16766-2022 artfynd.xlsx", "A 16766-2022")</f>
        <v/>
      </c>
      <c r="W15">
        <f>HYPERLINK("https://klasma.github.io/Logging_1785/kartor/A 16766-2022 karta.png", "A 16766-2022")</f>
        <v/>
      </c>
      <c r="Y15">
        <f>HYPERLINK("https://klasma.github.io/Logging_1785/klagomål/A 16766-2022 FSC-klagomål.docx", "A 16766-2022")</f>
        <v/>
      </c>
      <c r="Z15">
        <f>HYPERLINK("https://klasma.github.io/Logging_1785/klagomålsmail/A 16766-2022 FSC-klagomål mail.docx", "A 16766-2022")</f>
        <v/>
      </c>
      <c r="AA15">
        <f>HYPERLINK("https://klasma.github.io/Logging_1785/tillsyn/A 16766-2022 tillsynsbegäran.docx", "A 16766-2022")</f>
        <v/>
      </c>
      <c r="AB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46221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Vedskivlav
Vedticka</t>
        </is>
      </c>
      <c r="V16">
        <f>HYPERLINK("https://klasma.github.io/Logging_1785/artfynd/A 1036-2025 artfynd.xlsx", "A 1036-2025")</f>
        <v/>
      </c>
      <c r="W16">
        <f>HYPERLINK("https://klasma.github.io/Logging_1785/kartor/A 1036-2025 karta.png", "A 1036-2025")</f>
        <v/>
      </c>
      <c r="Y16">
        <f>HYPERLINK("https://klasma.github.io/Logging_1785/klagomål/A 1036-2025 FSC-klagomål.docx", "A 1036-2025")</f>
        <v/>
      </c>
      <c r="Z16">
        <f>HYPERLINK("https://klasma.github.io/Logging_1785/klagomålsmail/A 1036-2025 FSC-klagomål mail.docx", "A 1036-2025")</f>
        <v/>
      </c>
      <c r="AA16">
        <f>HYPERLINK("https://klasma.github.io/Logging_1785/tillsyn/A 1036-2025 tillsynsbegäran.docx", "A 1036-2025")</f>
        <v/>
      </c>
      <c r="AB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46221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Svinrot
Fläcknycklar</t>
        </is>
      </c>
      <c r="V17">
        <f>HYPERLINK("https://klasma.github.io/Logging_1785/artfynd/A 1188-2026 artfynd.xlsx", "A 1188-2026")</f>
        <v/>
      </c>
      <c r="W17">
        <f>HYPERLINK("https://klasma.github.io/Logging_1785/kartor/A 1188-2026 karta.png", "A 1188-2026")</f>
        <v/>
      </c>
      <c r="Y17">
        <f>HYPERLINK("https://klasma.github.io/Logging_1785/klagomål/A 1188-2026 FSC-klagomål.docx", "A 1188-2026")</f>
        <v/>
      </c>
      <c r="Z17">
        <f>HYPERLINK("https://klasma.github.io/Logging_1785/klagomålsmail/A 1188-2026 FSC-klagomål mail.docx", "A 1188-2026")</f>
        <v/>
      </c>
      <c r="AA17">
        <f>HYPERLINK("https://klasma.github.io/Logging_1785/tillsyn/A 1188-2026 tillsynsbegäran.docx", "A 1188-2026")</f>
        <v/>
      </c>
      <c r="AB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46221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Mindre bastardsvärmare
Skogsklocka</t>
        </is>
      </c>
      <c r="V18">
        <f>HYPERLINK("https://klasma.github.io/Logging_1785/artfynd/A 12294-2024 artfynd.xlsx", "A 12294-2024")</f>
        <v/>
      </c>
      <c r="W18">
        <f>HYPERLINK("https://klasma.github.io/Logging_1785/kartor/A 12294-2024 karta.png", "A 12294-2024")</f>
        <v/>
      </c>
      <c r="Y18">
        <f>HYPERLINK("https://klasma.github.io/Logging_1785/klagomål/A 12294-2024 FSC-klagomål.docx", "A 12294-2024")</f>
        <v/>
      </c>
      <c r="Z18">
        <f>HYPERLINK("https://klasma.github.io/Logging_1785/klagomålsmail/A 12294-2024 FSC-klagomål mail.docx", "A 12294-2024")</f>
        <v/>
      </c>
      <c r="AA18">
        <f>HYPERLINK("https://klasma.github.io/Logging_1785/tillsyn/A 12294-2024 tillsynsbegäran.docx", "A 12294-2024")</f>
        <v/>
      </c>
      <c r="AB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46221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Dropptaggsvamp
Blåmossa</t>
        </is>
      </c>
      <c r="V19">
        <f>HYPERLINK("https://klasma.github.io/Logging_1785/artfynd/A 24697-2024 artfynd.xlsx", "A 24697-2024")</f>
        <v/>
      </c>
      <c r="W19">
        <f>HYPERLINK("https://klasma.github.io/Logging_1785/kartor/A 24697-2024 karta.png", "A 24697-2024")</f>
        <v/>
      </c>
      <c r="Y19">
        <f>HYPERLINK("https://klasma.github.io/Logging_1785/klagomål/A 24697-2024 FSC-klagomål.docx", "A 24697-2024")</f>
        <v/>
      </c>
      <c r="Z19">
        <f>HYPERLINK("https://klasma.github.io/Logging_1785/klagomålsmail/A 24697-2024 FSC-klagomål mail.docx", "A 24697-2024")</f>
        <v/>
      </c>
      <c r="AA19">
        <f>HYPERLINK("https://klasma.github.io/Logging_1785/tillsyn/A 24697-2024 tillsynsbegäran.docx", "A 24697-2024")</f>
        <v/>
      </c>
      <c r="AB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46221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Y20">
        <f>HYPERLINK("https://klasma.github.io/Logging_1785/klagomål/A 48327-2021 FSC-klagomål.docx", "A 48327-2021")</f>
        <v/>
      </c>
      <c r="Z20">
        <f>HYPERLINK("https://klasma.github.io/Logging_1785/klagomålsmail/A 48327-2021 FSC-klagomål mail.docx", "A 48327-2021")</f>
        <v/>
      </c>
      <c r="AA20">
        <f>HYPERLINK("https://klasma.github.io/Logging_1785/tillsyn/A 48327-2021 tillsynsbegäran.docx", "A 48327-2021")</f>
        <v/>
      </c>
      <c r="AB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46221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Y21">
        <f>HYPERLINK("https://klasma.github.io/Logging_1785/klagomål/A 54430-2021 FSC-klagomål.docx", "A 54430-2021")</f>
        <v/>
      </c>
      <c r="Z21">
        <f>HYPERLINK("https://klasma.github.io/Logging_1785/klagomålsmail/A 54430-2021 FSC-klagomål mail.docx", "A 54430-2021")</f>
        <v/>
      </c>
      <c r="AA21">
        <f>HYPERLINK("https://klasma.github.io/Logging_1785/tillsyn/A 54430-2021 tillsynsbegäran.docx", "A 54430-2021")</f>
        <v/>
      </c>
      <c r="AB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46221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Y22">
        <f>HYPERLINK("https://klasma.github.io/Logging_1785/klagomål/A 33249-2022 FSC-klagomål.docx", "A 33249-2022")</f>
        <v/>
      </c>
      <c r="Z22">
        <f>HYPERLINK("https://klasma.github.io/Logging_1785/klagomålsmail/A 33249-2022 FSC-klagomål mail.docx", "A 33249-2022")</f>
        <v/>
      </c>
      <c r="AA22">
        <f>HYPERLINK("https://klasma.github.io/Logging_1785/tillsyn/A 33249-2022 tillsynsbegäran.docx", "A 33249-2022")</f>
        <v/>
      </c>
      <c r="AB22">
        <f>HYPERLINK("https://klasma.github.io/Logging_1785/tillsynsmail/A 33249-2022 tillsynsbegäran mail.docx", "A 33249-2022")</f>
        <v/>
      </c>
    </row>
    <row r="23" ht="15" customHeight="1">
      <c r="A23" t="inlineStr">
        <is>
          <t>A 37853-2021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44403</v>
      </c>
      <c r="E23" s="1" t="n">
        <v>46221</v>
      </c>
      <c r="F23" t="inlineStr">
        <is>
          <t>VÄRMLANDS LÄN</t>
        </is>
      </c>
      <c r="G23" t="inlineStr">
        <is>
          <t>SÄFFLE</t>
        </is>
      </c>
      <c r="I23" t="n">
        <v>3.2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Garnlav</t>
        </is>
      </c>
      <c r="V23">
        <f>HYPERLINK("https://klasma.github.io/Logging_1785/artfynd/A 37853-2021 artfynd.xlsx", "A 37853-2021")</f>
        <v/>
      </c>
      <c r="W23">
        <f>HYPERLINK("https://klasma.github.io/Logging_1785/kartor/A 37853-2021 karta.png", "A 37853-2021")</f>
        <v/>
      </c>
      <c r="Y23">
        <f>HYPERLINK("https://klasma.github.io/Logging_1785/klagomål/A 37853-2021 FSC-klagomål.docx", "A 37853-2021")</f>
        <v/>
      </c>
      <c r="Z23">
        <f>HYPERLINK("https://klasma.github.io/Logging_1785/klagomålsmail/A 37853-2021 FSC-klagomål mail.docx", "A 37853-2021")</f>
        <v/>
      </c>
      <c r="AA23">
        <f>HYPERLINK("https://klasma.github.io/Logging_1785/tillsyn/A 37853-2021 tillsynsbegäran.docx", "A 37853-2021")</f>
        <v/>
      </c>
      <c r="AB23">
        <f>HYPERLINK("https://klasma.github.io/Logging_1785/tillsynsmail/A 37853-2021 tillsynsbegäran mail.docx", "A 37853-2021")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46221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Mindre bastardsvärmare</t>
        </is>
      </c>
      <c r="V24">
        <f>HYPERLINK("https://klasma.github.io/Logging_1785/artfynd/A 63111-2021 artfynd.xlsx", "A 63111-2021")</f>
        <v/>
      </c>
      <c r="W24">
        <f>HYPERLINK("https://klasma.github.io/Logging_1785/kartor/A 63111-2021 karta.png", "A 63111-2021")</f>
        <v/>
      </c>
      <c r="Y24">
        <f>HYPERLINK("https://klasma.github.io/Logging_1785/klagomål/A 63111-2021 FSC-klagomål.docx", "A 63111-2021")</f>
        <v/>
      </c>
      <c r="Z24">
        <f>HYPERLINK("https://klasma.github.io/Logging_1785/klagomålsmail/A 63111-2021 FSC-klagomål mail.docx", "A 63111-2021")</f>
        <v/>
      </c>
      <c r="AA24">
        <f>HYPERLINK("https://klasma.github.io/Logging_1785/tillsyn/A 63111-2021 tillsynsbegäran.docx", "A 63111-2021")</f>
        <v/>
      </c>
      <c r="AB24">
        <f>HYPERLINK("https://klasma.github.io/Logging_1785/tillsynsmail/A 63111-2021 tillsynsbegäran mail.docx", "A 63111-2021")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46221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Ryl</t>
        </is>
      </c>
      <c r="V25">
        <f>HYPERLINK("https://klasma.github.io/Logging_1785/artfynd/A 4134-2024 artfynd.xlsx", "A 4134-2024")</f>
        <v/>
      </c>
      <c r="W25">
        <f>HYPERLINK("https://klasma.github.io/Logging_1785/kartor/A 4134-2024 karta.png", "A 4134-2024")</f>
        <v/>
      </c>
      <c r="Y25">
        <f>HYPERLINK("https://klasma.github.io/Logging_1785/klagomål/A 4134-2024 FSC-klagomål.docx", "A 4134-2024")</f>
        <v/>
      </c>
      <c r="Z25">
        <f>HYPERLINK("https://klasma.github.io/Logging_1785/klagomålsmail/A 4134-2024 FSC-klagomål mail.docx", "A 4134-2024")</f>
        <v/>
      </c>
      <c r="AA25">
        <f>HYPERLINK("https://klasma.github.io/Logging_1785/tillsyn/A 4134-2024 tillsynsbegäran.docx", "A 4134-2024")</f>
        <v/>
      </c>
      <c r="AB25">
        <f>HYPERLINK("https://klasma.github.io/Logging_1785/tillsynsmail/A 4134-2024 tillsynsbegäran mail.docx", "A 4134-2024")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46221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Vanlig groda</t>
        </is>
      </c>
      <c r="V26">
        <f>HYPERLINK("https://klasma.github.io/Logging_1785/artfynd/A 31657-2023 artfynd.xlsx", "A 31657-2023")</f>
        <v/>
      </c>
      <c r="W26">
        <f>HYPERLINK("https://klasma.github.io/Logging_1785/kartor/A 31657-2023 karta.png", "A 31657-2023")</f>
        <v/>
      </c>
      <c r="Y26">
        <f>HYPERLINK("https://klasma.github.io/Logging_1785/klagomål/A 31657-2023 FSC-klagomål.docx", "A 31657-2023")</f>
        <v/>
      </c>
      <c r="Z26">
        <f>HYPERLINK("https://klasma.github.io/Logging_1785/klagomålsmail/A 31657-2023 FSC-klagomål mail.docx", "A 31657-2023")</f>
        <v/>
      </c>
      <c r="AA26">
        <f>HYPERLINK("https://klasma.github.io/Logging_1785/tillsyn/A 31657-2023 tillsynsbegäran.docx", "A 31657-2023")</f>
        <v/>
      </c>
      <c r="AB26">
        <f>HYPERLINK("https://klasma.github.io/Logging_1785/tillsynsmail/A 31657-2023 tillsynsbegäran mail.docx", "A 31657-2023")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46221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HYPERLINK("https://klasma.github.io/Logging_1785/artfynd/A 2740-2023 artfynd.xlsx", "A 2740-2023")</f>
        <v/>
      </c>
      <c r="W27">
        <f>HYPERLINK("https://klasma.github.io/Logging_1785/kartor/A 2740-2023 karta.png", "A 2740-2023")</f>
        <v/>
      </c>
      <c r="Y27">
        <f>HYPERLINK("https://klasma.github.io/Logging_1785/klagomål/A 2740-2023 FSC-klagomål.docx", "A 2740-2023")</f>
        <v/>
      </c>
      <c r="Z27">
        <f>HYPERLINK("https://klasma.github.io/Logging_1785/klagomålsmail/A 2740-2023 FSC-klagomål mail.docx", "A 2740-2023")</f>
        <v/>
      </c>
      <c r="AA27">
        <f>HYPERLINK("https://klasma.github.io/Logging_1785/tillsyn/A 2740-2023 tillsynsbegäran.docx", "A 2740-2023")</f>
        <v/>
      </c>
      <c r="AB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46221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Jungfrulin</t>
        </is>
      </c>
      <c r="V28">
        <f>HYPERLINK("https://klasma.github.io/Logging_1785/artfynd/A 61612-2024 artfynd.xlsx", "A 61612-2024")</f>
        <v/>
      </c>
      <c r="W28">
        <f>HYPERLINK("https://klasma.github.io/Logging_1785/kartor/A 61612-2024 karta.png", "A 61612-2024")</f>
        <v/>
      </c>
      <c r="Y28">
        <f>HYPERLINK("https://klasma.github.io/Logging_1785/klagomål/A 61612-2024 FSC-klagomål.docx", "A 61612-2024")</f>
        <v/>
      </c>
      <c r="Z28">
        <f>HYPERLINK("https://klasma.github.io/Logging_1785/klagomålsmail/A 61612-2024 FSC-klagomål mail.docx", "A 61612-2024")</f>
        <v/>
      </c>
      <c r="AA28">
        <f>HYPERLINK("https://klasma.github.io/Logging_1785/tillsyn/A 61612-2024 tillsynsbegäran.docx", "A 61612-2024")</f>
        <v/>
      </c>
      <c r="AB28">
        <f>HYPERLINK("https://klasma.github.io/Logging_1785/tillsynsmail/A 61612-2024 tillsynsbegäran mail.docx", "A 61612-2024")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46221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HYPERLINK("https://klasma.github.io/Logging_1785/artfynd/A 19694-2024 artfynd.xlsx", "A 19694-2024")</f>
        <v/>
      </c>
      <c r="W29">
        <f>HYPERLINK("https://klasma.github.io/Logging_1785/kartor/A 19694-2024 karta.png", "A 19694-2024")</f>
        <v/>
      </c>
      <c r="Y29">
        <f>HYPERLINK("https://klasma.github.io/Logging_1785/klagomål/A 19694-2024 FSC-klagomål.docx", "A 19694-2024")</f>
        <v/>
      </c>
      <c r="Z29">
        <f>HYPERLINK("https://klasma.github.io/Logging_1785/klagomålsmail/A 19694-2024 FSC-klagomål mail.docx", "A 19694-2024")</f>
        <v/>
      </c>
      <c r="AA29">
        <f>HYPERLINK("https://klasma.github.io/Logging_1785/tillsyn/A 19694-2024 tillsynsbegäran.docx", "A 19694-2024")</f>
        <v/>
      </c>
      <c r="AB29">
        <f>HYPERLINK("https://klasma.github.io/Logging_1785/tillsynsmail/A 19694-2024 tillsynsbegäran mail.docx", "A 19694-2024")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46221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Springkorn</t>
        </is>
      </c>
      <c r="V30">
        <f>HYPERLINK("https://klasma.github.io/Logging_1785/artfynd/A 43852-2025 artfynd.xlsx", "A 43852-2025")</f>
        <v/>
      </c>
      <c r="W30">
        <f>HYPERLINK("https://klasma.github.io/Logging_1785/kartor/A 43852-2025 karta.png", "A 43852-2025")</f>
        <v/>
      </c>
      <c r="Y30">
        <f>HYPERLINK("https://klasma.github.io/Logging_1785/klagomål/A 43852-2025 FSC-klagomål.docx", "A 43852-2025")</f>
        <v/>
      </c>
      <c r="Z30">
        <f>HYPERLINK("https://klasma.github.io/Logging_1785/klagomålsmail/A 43852-2025 FSC-klagomål mail.docx", "A 43852-2025")</f>
        <v/>
      </c>
      <c r="AA30">
        <f>HYPERLINK("https://klasma.github.io/Logging_1785/tillsyn/A 43852-2025 tillsynsbegäran.docx", "A 43852-2025")</f>
        <v/>
      </c>
      <c r="AB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46221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HYPERLINK("https://klasma.github.io/Logging_1785/artfynd/A 2342-2025 artfynd.xlsx", "A 2342-2025")</f>
        <v/>
      </c>
      <c r="W31">
        <f>HYPERLINK("https://klasma.github.io/Logging_1785/kartor/A 2342-2025 karta.png", "A 2342-2025")</f>
        <v/>
      </c>
      <c r="Y31">
        <f>HYPERLINK("https://klasma.github.io/Logging_1785/klagomål/A 2342-2025 FSC-klagomål.docx", "A 2342-2025")</f>
        <v/>
      </c>
      <c r="Z31">
        <f>HYPERLINK("https://klasma.github.io/Logging_1785/klagomålsmail/A 2342-2025 FSC-klagomål mail.docx", "A 2342-2025")</f>
        <v/>
      </c>
      <c r="AA31">
        <f>HYPERLINK("https://klasma.github.io/Logging_1785/tillsyn/A 2342-2025 tillsynsbegäran.docx", "A 2342-2025")</f>
        <v/>
      </c>
      <c r="AB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46221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s="2" t="inlineStr">
        <is>
          <t>Skogsklocka</t>
        </is>
      </c>
      <c r="V32">
        <f>HYPERLINK("https://klasma.github.io/Logging_1785/artfynd/A 11933-2025 artfynd.xlsx", "A 11933-2025")</f>
        <v/>
      </c>
      <c r="W32">
        <f>HYPERLINK("https://klasma.github.io/Logging_1785/kartor/A 11933-2025 karta.png", "A 11933-2025")</f>
        <v/>
      </c>
      <c r="Y32">
        <f>HYPERLINK("https://klasma.github.io/Logging_1785/klagomål/A 11933-2025 FSC-klagomål.docx", "A 11933-2025")</f>
        <v/>
      </c>
      <c r="Z32">
        <f>HYPERLINK("https://klasma.github.io/Logging_1785/klagomålsmail/A 11933-2025 FSC-klagomål mail.docx", "A 11933-2025")</f>
        <v/>
      </c>
      <c r="AA32">
        <f>HYPERLINK("https://klasma.github.io/Logging_1785/tillsyn/A 11933-2025 tillsynsbegäran.docx", "A 11933-2025")</f>
        <v/>
      </c>
      <c r="AB32">
        <f>HYPERLINK("https://klasma.github.io/Logging_1785/tillsynsmail/A 11933-2025 tillsynsbegäran mail.docx", "A 11933-2025")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46221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Gränsticka</t>
        </is>
      </c>
      <c r="V33">
        <f>HYPERLINK("https://klasma.github.io/Logging_1785/artfynd/A 31226-2025 artfynd.xlsx", "A 31226-2025")</f>
        <v/>
      </c>
      <c r="W33">
        <f>HYPERLINK("https://klasma.github.io/Logging_1785/kartor/A 31226-2025 karta.png", "A 31226-2025")</f>
        <v/>
      </c>
      <c r="Y33">
        <f>HYPERLINK("https://klasma.github.io/Logging_1785/klagomål/A 31226-2025 FSC-klagomål.docx", "A 31226-2025")</f>
        <v/>
      </c>
      <c r="Z33">
        <f>HYPERLINK("https://klasma.github.io/Logging_1785/klagomålsmail/A 31226-2025 FSC-klagomål mail.docx", "A 31226-2025")</f>
        <v/>
      </c>
      <c r="AA33">
        <f>HYPERLINK("https://klasma.github.io/Logging_1785/tillsyn/A 31226-2025 tillsynsbegäran.docx", "A 31226-2025")</f>
        <v/>
      </c>
      <c r="AB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46221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Skogsklocka</t>
        </is>
      </c>
      <c r="V34">
        <f>HYPERLINK("https://klasma.github.io/Logging_1785/artfynd/A 48322-2021 artfynd.xlsx", "A 48322-2021")</f>
        <v/>
      </c>
      <c r="W34">
        <f>HYPERLINK("https://klasma.github.io/Logging_1785/kartor/A 48322-2021 karta.png", "A 48322-2021")</f>
        <v/>
      </c>
      <c r="Y34">
        <f>HYPERLINK("https://klasma.github.io/Logging_1785/klagomål/A 48322-2021 FSC-klagomål.docx", "A 48322-2021")</f>
        <v/>
      </c>
      <c r="Z34">
        <f>HYPERLINK("https://klasma.github.io/Logging_1785/klagomålsmail/A 48322-2021 FSC-klagomål mail.docx", "A 48322-2021")</f>
        <v/>
      </c>
      <c r="AA34">
        <f>HYPERLINK("https://klasma.github.io/Logging_1785/tillsyn/A 48322-2021 tillsynsbegäran.docx", "A 48322-2021")</f>
        <v/>
      </c>
      <c r="AB34">
        <f>HYPERLINK("https://klasma.github.io/Logging_1785/tillsynsmail/A 48322-2021 tillsynsbegäran mail.docx", "A 48322-2021")</f>
        <v/>
      </c>
    </row>
    <row r="35" ht="15" customHeight="1">
      <c r="A35" t="inlineStr">
        <is>
          <t>A 59289-2025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46221</v>
      </c>
      <c r="F35" t="inlineStr">
        <is>
          <t>VÄRMLANDS LÄN</t>
        </is>
      </c>
      <c r="G35" t="inlineStr">
        <is>
          <t>SÄFFLE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Tibast</t>
        </is>
      </c>
      <c r="V35">
        <f>HYPERLINK("https://klasma.github.io/Logging_1785/artfynd/A 59289-2025 artfynd.xlsx", "A 59289-2025")</f>
        <v/>
      </c>
      <c r="W35">
        <f>HYPERLINK("https://klasma.github.io/Logging_1785/kartor/A 59289-2025 karta.png", "A 59289-2025")</f>
        <v/>
      </c>
      <c r="Y35">
        <f>HYPERLINK("https://klasma.github.io/Logging_1785/klagomål/A 59289-2025 FSC-klagomål.docx", "A 59289-2025")</f>
        <v/>
      </c>
      <c r="Z35">
        <f>HYPERLINK("https://klasma.github.io/Logging_1785/klagomålsmail/A 59289-2025 FSC-klagomål mail.docx", "A 59289-2025")</f>
        <v/>
      </c>
      <c r="AA35">
        <f>HYPERLINK("https://klasma.github.io/Logging_1785/tillsyn/A 59289-2025 tillsynsbegäran.docx", "A 59289-2025")</f>
        <v/>
      </c>
      <c r="AB35">
        <f>HYPERLINK("https://klasma.github.io/Logging_1785/tillsynsmail/A 59289-2025 tillsynsbegäran mail.docx", "A 59289-2025")</f>
        <v/>
      </c>
    </row>
    <row r="36" ht="15" customHeight="1">
      <c r="A36" t="inlineStr">
        <is>
          <t>A 18622-2025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46221</v>
      </c>
      <c r="F36" t="inlineStr">
        <is>
          <t>VÄRMLANDS LÄN</t>
        </is>
      </c>
      <c r="G36" t="inlineStr">
        <is>
          <t>SÄFFLE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Äkta lopplummer</t>
        </is>
      </c>
      <c r="V36">
        <f>HYPERLINK("https://klasma.github.io/Logging_1785/artfynd/A 18622-2025 artfynd.xlsx", "A 18622-2025")</f>
        <v/>
      </c>
      <c r="W36">
        <f>HYPERLINK("https://klasma.github.io/Logging_1785/kartor/A 18622-2025 karta.png", "A 18622-2025")</f>
        <v/>
      </c>
      <c r="Y36">
        <f>HYPERLINK("https://klasma.github.io/Logging_1785/klagomål/A 18622-2025 FSC-klagomål.docx", "A 18622-2025")</f>
        <v/>
      </c>
      <c r="Z36">
        <f>HYPERLINK("https://klasma.github.io/Logging_1785/klagomålsmail/A 18622-2025 FSC-klagomål mail.docx", "A 18622-2025")</f>
        <v/>
      </c>
      <c r="AA36">
        <f>HYPERLINK("https://klasma.github.io/Logging_1785/tillsyn/A 18622-2025 tillsynsbegäran.docx", "A 18622-2025")</f>
        <v/>
      </c>
      <c r="AB36">
        <f>HYPERLINK("https://klasma.github.io/Logging_1785/tillsynsmail/A 18622-2025 tillsynsbegäran mail.docx", "A 18622-2025")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46221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Talltita</t>
        </is>
      </c>
      <c r="V37">
        <f>HYPERLINK("https://klasma.github.io/Logging_1785/artfynd/A 48883-2023 artfynd.xlsx", "A 48883-2023")</f>
        <v/>
      </c>
      <c r="W37">
        <f>HYPERLINK("https://klasma.github.io/Logging_1785/kartor/A 48883-2023 karta.png", "A 48883-2023")</f>
        <v/>
      </c>
      <c r="Y37">
        <f>HYPERLINK("https://klasma.github.io/Logging_1785/klagomål/A 48883-2023 FSC-klagomål.docx", "A 48883-2023")</f>
        <v/>
      </c>
      <c r="Z37">
        <f>HYPERLINK("https://klasma.github.io/Logging_1785/klagomålsmail/A 48883-2023 FSC-klagomål mail.docx", "A 48883-2023")</f>
        <v/>
      </c>
      <c r="AA37">
        <f>HYPERLINK("https://klasma.github.io/Logging_1785/tillsyn/A 48883-2023 tillsynsbegäran.docx", "A 48883-2023")</f>
        <v/>
      </c>
      <c r="AB37">
        <f>HYPERLINK("https://klasma.github.io/Logging_1785/tillsynsmail/A 48883-2023 tillsynsbegäran mail.docx", "A 48883-2023")</f>
        <v/>
      </c>
      <c r="AC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46221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Vätteros</t>
        </is>
      </c>
      <c r="V38">
        <f>HYPERLINK("https://klasma.github.io/Logging_1785/artfynd/A 4394-2022 artfynd.xlsx", "A 4394-2022")</f>
        <v/>
      </c>
      <c r="W38">
        <f>HYPERLINK("https://klasma.github.io/Logging_1785/kartor/A 4394-2022 karta.png", "A 4394-2022")</f>
        <v/>
      </c>
      <c r="Y38">
        <f>HYPERLINK("https://klasma.github.io/Logging_1785/klagomål/A 4394-2022 FSC-klagomål.docx", "A 4394-2022")</f>
        <v/>
      </c>
      <c r="Z38">
        <f>HYPERLINK("https://klasma.github.io/Logging_1785/klagomålsmail/A 4394-2022 FSC-klagomål mail.docx", "A 4394-2022")</f>
        <v/>
      </c>
      <c r="AA38">
        <f>HYPERLINK("https://klasma.github.io/Logging_1785/tillsyn/A 4394-2022 tillsynsbegäran.docx", "A 4394-2022")</f>
        <v/>
      </c>
      <c r="AB38">
        <f>HYPERLINK("https://klasma.github.io/Logging_1785/tillsynsmail/A 4394-2022 tillsynsbegäran mail.docx", "A 4394-2022")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46221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Åkerkulla</t>
        </is>
      </c>
      <c r="V39">
        <f>HYPERLINK("https://klasma.github.io/Logging_1785/artfynd/A 38621-2023 artfynd.xlsx", "A 38621-2023")</f>
        <v/>
      </c>
      <c r="W39">
        <f>HYPERLINK("https://klasma.github.io/Logging_1785/kartor/A 38621-2023 karta.png", "A 38621-2023")</f>
        <v/>
      </c>
      <c r="Y39">
        <f>HYPERLINK("https://klasma.github.io/Logging_1785/klagomål/A 38621-2023 FSC-klagomål.docx", "A 38621-2023")</f>
        <v/>
      </c>
      <c r="Z39">
        <f>HYPERLINK("https://klasma.github.io/Logging_1785/klagomålsmail/A 38621-2023 FSC-klagomål mail.docx", "A 38621-2023")</f>
        <v/>
      </c>
      <c r="AA39">
        <f>HYPERLINK("https://klasma.github.io/Logging_1785/tillsyn/A 38621-2023 tillsynsbegäran.docx", "A 38621-2023")</f>
        <v/>
      </c>
      <c r="AB39">
        <f>HYPERLINK("https://klasma.github.io/Logging_1785/tillsynsmail/A 38621-2023 tillsynsbegäran mail.docx", "A 38621-2023")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46221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Vätteros</t>
        </is>
      </c>
      <c r="V40">
        <f>HYPERLINK("https://klasma.github.io/Logging_1785/artfynd/A 33538-2025 artfynd.xlsx", "A 33538-2025")</f>
        <v/>
      </c>
      <c r="W40">
        <f>HYPERLINK("https://klasma.github.io/Logging_1785/kartor/A 33538-2025 karta.png", "A 33538-2025")</f>
        <v/>
      </c>
      <c r="Y40">
        <f>HYPERLINK("https://klasma.github.io/Logging_1785/klagomål/A 33538-2025 FSC-klagomål.docx", "A 33538-2025")</f>
        <v/>
      </c>
      <c r="Z40">
        <f>HYPERLINK("https://klasma.github.io/Logging_1785/klagomålsmail/A 33538-2025 FSC-klagomål mail.docx", "A 33538-2025")</f>
        <v/>
      </c>
      <c r="AA40">
        <f>HYPERLINK("https://klasma.github.io/Logging_1785/tillsyn/A 33538-2025 tillsynsbegäran.docx", "A 33538-2025")</f>
        <v/>
      </c>
      <c r="AB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46221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Fläcknycklar</t>
        </is>
      </c>
      <c r="V41">
        <f>HYPERLINK("https://klasma.github.io/Logging_1785/artfynd/A 1717-2023 artfynd.xlsx", "A 1717-2023")</f>
        <v/>
      </c>
      <c r="W41">
        <f>HYPERLINK("https://klasma.github.io/Logging_1785/kartor/A 1717-2023 karta.png", "A 1717-2023")</f>
        <v/>
      </c>
      <c r="Y41">
        <f>HYPERLINK("https://klasma.github.io/Logging_1785/klagomål/A 1717-2023 FSC-klagomål.docx", "A 1717-2023")</f>
        <v/>
      </c>
      <c r="Z41">
        <f>HYPERLINK("https://klasma.github.io/Logging_1785/klagomålsmail/A 1717-2023 FSC-klagomål mail.docx", "A 1717-2023")</f>
        <v/>
      </c>
      <c r="AA41">
        <f>HYPERLINK("https://klasma.github.io/Logging_1785/tillsyn/A 1717-2023 tillsynsbegäran.docx", "A 1717-2023")</f>
        <v/>
      </c>
      <c r="AB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46221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Ask</t>
        </is>
      </c>
      <c r="V42">
        <f>HYPERLINK("https://klasma.github.io/Logging_1785/artfynd/A 14428-2023 artfynd.xlsx", "A 14428-2023")</f>
        <v/>
      </c>
      <c r="W42">
        <f>HYPERLINK("https://klasma.github.io/Logging_1785/kartor/A 14428-2023 karta.png", "A 14428-2023")</f>
        <v/>
      </c>
      <c r="Y42">
        <f>HYPERLINK("https://klasma.github.io/Logging_1785/klagomål/A 14428-2023 FSC-klagomål.docx", "A 14428-2023")</f>
        <v/>
      </c>
      <c r="Z42">
        <f>HYPERLINK("https://klasma.github.io/Logging_1785/klagomålsmail/A 14428-2023 FSC-klagomål mail.docx", "A 14428-2023")</f>
        <v/>
      </c>
      <c r="AA42">
        <f>HYPERLINK("https://klasma.github.io/Logging_1785/tillsyn/A 14428-2023 tillsynsbegäran.docx", "A 14428-2023")</f>
        <v/>
      </c>
      <c r="AB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46221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Gullklöver</t>
        </is>
      </c>
      <c r="V43">
        <f>HYPERLINK("https://klasma.github.io/Logging_1785/artfynd/A 12740-2024 artfynd.xlsx", "A 12740-2024")</f>
        <v/>
      </c>
      <c r="W43">
        <f>HYPERLINK("https://klasma.github.io/Logging_1785/kartor/A 12740-2024 karta.png", "A 12740-2024")</f>
        <v/>
      </c>
      <c r="Y43">
        <f>HYPERLINK("https://klasma.github.io/Logging_1785/klagomål/A 12740-2024 FSC-klagomål.docx", "A 12740-2024")</f>
        <v/>
      </c>
      <c r="Z43">
        <f>HYPERLINK("https://klasma.github.io/Logging_1785/klagomålsmail/A 12740-2024 FSC-klagomål mail.docx", "A 12740-2024")</f>
        <v/>
      </c>
      <c r="AA43">
        <f>HYPERLINK("https://klasma.github.io/Logging_1785/tillsyn/A 12740-2024 tillsynsbegäran.docx", "A 12740-2024")</f>
        <v/>
      </c>
      <c r="AB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46221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HYPERLINK("https://klasma.github.io/Logging_1785/artfynd/A 60931-2024 artfynd.xlsx", "A 60931-2024")</f>
        <v/>
      </c>
      <c r="W44">
        <f>HYPERLINK("https://klasma.github.io/Logging_1785/kartor/A 60931-2024 karta.png", "A 60931-2024")</f>
        <v/>
      </c>
      <c r="Y44">
        <f>HYPERLINK("https://klasma.github.io/Logging_1785/klagomål/A 60931-2024 FSC-klagomål.docx", "A 60931-2024")</f>
        <v/>
      </c>
      <c r="Z44">
        <f>HYPERLINK("https://klasma.github.io/Logging_1785/klagomålsmail/A 60931-2024 FSC-klagomål mail.docx", "A 60931-2024")</f>
        <v/>
      </c>
      <c r="AA44">
        <f>HYPERLINK("https://klasma.github.io/Logging_1785/tillsyn/A 60931-2024 tillsynsbegäran.docx", "A 60931-2024")</f>
        <v/>
      </c>
      <c r="AB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46221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Vätteros</t>
        </is>
      </c>
      <c r="V45">
        <f>HYPERLINK("https://klasma.github.io/Logging_1785/artfynd/A 36273-2024 artfynd.xlsx", "A 36273-2024")</f>
        <v/>
      </c>
      <c r="W45">
        <f>HYPERLINK("https://klasma.github.io/Logging_1785/kartor/A 36273-2024 karta.png", "A 36273-2024")</f>
        <v/>
      </c>
      <c r="Y45">
        <f>HYPERLINK("https://klasma.github.io/Logging_1785/klagomål/A 36273-2024 FSC-klagomål.docx", "A 36273-2024")</f>
        <v/>
      </c>
      <c r="Z45">
        <f>HYPERLINK("https://klasma.github.io/Logging_1785/klagomålsmail/A 36273-2024 FSC-klagomål mail.docx", "A 36273-2024")</f>
        <v/>
      </c>
      <c r="AA45">
        <f>HYPERLINK("https://klasma.github.io/Logging_1785/tillsyn/A 36273-2024 tillsynsbegäran.docx", "A 36273-2024")</f>
        <v/>
      </c>
      <c r="AB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46221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Skogsklocka</t>
        </is>
      </c>
      <c r="V46">
        <f>HYPERLINK("https://klasma.github.io/Logging_1785/artfynd/A 60965-2024 artfynd.xlsx", "A 60965-2024")</f>
        <v/>
      </c>
      <c r="W46">
        <f>HYPERLINK("https://klasma.github.io/Logging_1785/kartor/A 60965-2024 karta.png", "A 60965-2024")</f>
        <v/>
      </c>
      <c r="Y46">
        <f>HYPERLINK("https://klasma.github.io/Logging_1785/klagomål/A 60965-2024 FSC-klagomål.docx", "A 60965-2024")</f>
        <v/>
      </c>
      <c r="Z46">
        <f>HYPERLINK("https://klasma.github.io/Logging_1785/klagomålsmail/A 60965-2024 FSC-klagomål mail.docx", "A 60965-2024")</f>
        <v/>
      </c>
      <c r="AA46">
        <f>HYPERLINK("https://klasma.github.io/Logging_1785/tillsyn/A 60965-2024 tillsynsbegäran.docx", "A 60965-2024")</f>
        <v/>
      </c>
      <c r="AB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46221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Kortskaftad ärgspik</t>
        </is>
      </c>
      <c r="V47">
        <f>HYPERLINK("https://klasma.github.io/Logging_1785/artfynd/A 14738-2024 artfynd.xlsx", "A 14738-2024")</f>
        <v/>
      </c>
      <c r="W47">
        <f>HYPERLINK("https://klasma.github.io/Logging_1785/kartor/A 14738-2024 karta.png", "A 14738-2024")</f>
        <v/>
      </c>
      <c r="Y47">
        <f>HYPERLINK("https://klasma.github.io/Logging_1785/klagomål/A 14738-2024 FSC-klagomål.docx", "A 14738-2024")</f>
        <v/>
      </c>
      <c r="Z47">
        <f>HYPERLINK("https://klasma.github.io/Logging_1785/klagomålsmail/A 14738-2024 FSC-klagomål mail.docx", "A 14738-2024")</f>
        <v/>
      </c>
      <c r="AA47">
        <f>HYPERLINK("https://klasma.github.io/Logging_1785/tillsyn/A 14738-2024 tillsynsbegäran.docx", "A 14738-2024")</f>
        <v/>
      </c>
      <c r="AB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46221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HYPERLINK("https://klasma.github.io/Logging_1785/artfynd/S 1722-2020 artfynd.xlsx", "S 1722-2020")</f>
        <v/>
      </c>
      <c r="W48">
        <f>HYPERLINK("https://klasma.github.io/Logging_1785/kartor/S 1722-2020 karta.png", "S 1722-2020")</f>
        <v/>
      </c>
      <c r="Y48">
        <f>HYPERLINK("https://klasma.github.io/Logging_1785/klagomål/S 1722-2020 FSC-klagomål.docx", "S 1722-2020")</f>
        <v/>
      </c>
      <c r="Z48">
        <f>HYPERLINK("https://klasma.github.io/Logging_1785/klagomålsmail/S 1722-2020 FSC-klagomål mail.docx", "S 1722-2020")</f>
        <v/>
      </c>
      <c r="AA48">
        <f>HYPERLINK("https://klasma.github.io/Logging_1785/tillsyn/S 1722-2020 tillsynsbegäran.docx", "S 1722-2020")</f>
        <v/>
      </c>
      <c r="AB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46221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HYPERLINK("https://klasma.github.io/Logging_1785/artfynd/S 155-2023 artfynd.xlsx", "S 155-2023")</f>
        <v/>
      </c>
      <c r="W49">
        <f>HYPERLINK("https://klasma.github.io/Logging_1785/kartor/S 155-2023 karta.png", "S 155-2023")</f>
        <v/>
      </c>
      <c r="Y49">
        <f>HYPERLINK("https://klasma.github.io/Logging_1785/klagomål/S 155-2023 FSC-klagomål.docx", "S 155-2023")</f>
        <v/>
      </c>
      <c r="Z49">
        <f>HYPERLINK("https://klasma.github.io/Logging_1785/klagomålsmail/S 155-2023 FSC-klagomål mail.docx", "S 155-2023")</f>
        <v/>
      </c>
      <c r="AA49">
        <f>HYPERLINK("https://klasma.github.io/Logging_1785/tillsyn/S 155-2023 tillsynsbegäran.docx", "S 155-2023")</f>
        <v/>
      </c>
      <c r="AB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46221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HYPERLINK("https://klasma.github.io/Logging_1785/artfynd/S 2093-2025 artfynd.xlsx", "S 2093-2025")</f>
        <v/>
      </c>
      <c r="W50">
        <f>HYPERLINK("https://klasma.github.io/Logging_1785/kartor/S 2093-2025 karta.png", "S 2093-2025")</f>
        <v/>
      </c>
      <c r="Y50">
        <f>HYPERLINK("https://klasma.github.io/Logging_1785/klagomål/S 2093-2025 FSC-klagomål.docx", "S 2093-2025")</f>
        <v/>
      </c>
      <c r="Z50">
        <f>HYPERLINK("https://klasma.github.io/Logging_1785/klagomålsmail/S 2093-2025 FSC-klagomål mail.docx", "S 2093-2025")</f>
        <v/>
      </c>
      <c r="AA50">
        <f>HYPERLINK("https://klasma.github.io/Logging_1785/tillsyn/S 2093-2025 tillsynsbegäran.docx", "S 2093-2025")</f>
        <v/>
      </c>
      <c r="AB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46221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46221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46221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46221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46221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46221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46221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46221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46221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46221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46221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46221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46221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46221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46221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46221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46221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46221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46221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46221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46221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46221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46221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46221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46221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46221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46221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46221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46221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46221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46221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46221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46221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46221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46221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46221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46221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46221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46221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46221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46221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46221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46221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46221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46221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46221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46221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46221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46221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46221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46221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46221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46221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46221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46221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46221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46221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46221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46221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46221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46221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46221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46221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46221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46221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46221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46221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46221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46221</v>
      </c>
      <c r="F119" t="inlineStr">
        <is>
          <t>VÄRMLANDS LÄN</t>
        </is>
      </c>
      <c r="G119" t="inlineStr">
        <is>
          <t>SÄFFLE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46221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46221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46221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45149-2021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46221</v>
      </c>
      <c r="F123" t="inlineStr">
        <is>
          <t>VÄRMLANDS LÄN</t>
        </is>
      </c>
      <c r="G123" t="inlineStr">
        <is>
          <t>SÄFFLE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46221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41512-2021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44424</v>
      </c>
      <c r="E125" s="1" t="n">
        <v>46221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46221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46221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46221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46221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46221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46221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46221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46221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46221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46221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46221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46221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46221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46221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46221</v>
      </c>
      <c r="F140" t="inlineStr">
        <is>
          <t>VÄRMLANDS LÄN</t>
        </is>
      </c>
      <c r="G140" t="inlineStr">
        <is>
          <t>SÄFFLE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10354-2025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46221</v>
      </c>
      <c r="F141" t="inlineStr">
        <is>
          <t>VÄRMLANDS LÄN</t>
        </is>
      </c>
      <c r="G141" t="inlineStr">
        <is>
          <t>SÄFFLE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10645-2024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45367</v>
      </c>
      <c r="E142" s="1" t="n">
        <v>46221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40887-2022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46221</v>
      </c>
      <c r="F143" t="inlineStr">
        <is>
          <t>VÄRMLANDS LÄN</t>
        </is>
      </c>
      <c r="G143" t="inlineStr">
        <is>
          <t>SÄFFLE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13029-2024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46221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46221</v>
      </c>
      <c r="F145" t="inlineStr">
        <is>
          <t>VÄRMLANDS LÄN</t>
        </is>
      </c>
      <c r="G145" t="inlineStr">
        <is>
          <t>SÄFFLE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13974-2024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46221</v>
      </c>
      <c r="F146" t="inlineStr">
        <is>
          <t>VÄRMLANDS LÄN</t>
        </is>
      </c>
      <c r="G146" t="inlineStr">
        <is>
          <t>SÄFFLE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14010-2024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46221</v>
      </c>
      <c r="F147" t="inlineStr">
        <is>
          <t>VÄRMLANDS LÄN</t>
        </is>
      </c>
      <c r="G147" t="inlineStr">
        <is>
          <t>SÄFFLE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19161-2024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46221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46221</v>
      </c>
      <c r="F149" t="inlineStr">
        <is>
          <t>VÄRMLANDS LÄN</t>
        </is>
      </c>
      <c r="G149" t="inlineStr">
        <is>
          <t>SÄFFLE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40759-2024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45558</v>
      </c>
      <c r="E150" s="1" t="n">
        <v>46221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23624-2024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45454</v>
      </c>
      <c r="E151" s="1" t="n">
        <v>46221</v>
      </c>
      <c r="F151" t="inlineStr">
        <is>
          <t>VÄRMLANDS LÄN</t>
        </is>
      </c>
      <c r="G151" t="inlineStr">
        <is>
          <t>SÄFFLE</t>
        </is>
      </c>
      <c r="H151" t="inlineStr">
        <is>
          <t>Kommuner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51052-2022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44868</v>
      </c>
      <c r="E152" s="1" t="n">
        <v>46221</v>
      </c>
      <c r="F152" t="inlineStr">
        <is>
          <t>VÄRMLANDS LÄN</t>
        </is>
      </c>
      <c r="G152" t="inlineStr">
        <is>
          <t>SÄFFLE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13292-2024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46221</v>
      </c>
      <c r="F153" t="inlineStr">
        <is>
          <t>VÄRMLANDS LÄN</t>
        </is>
      </c>
      <c r="G153" t="inlineStr">
        <is>
          <t>SÄFFLE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22254-2023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45070</v>
      </c>
      <c r="E154" s="1" t="n">
        <v>46221</v>
      </c>
      <c r="F154" t="inlineStr">
        <is>
          <t>VÄRMLANDS LÄN</t>
        </is>
      </c>
      <c r="G154" t="inlineStr">
        <is>
          <t>SÄFFLE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46221</v>
      </c>
      <c r="F155" t="inlineStr">
        <is>
          <t>VÄRMLANDS LÄN</t>
        </is>
      </c>
      <c r="G155" t="inlineStr">
        <is>
          <t>SÄFFLE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24305-2024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46221</v>
      </c>
      <c r="F156" t="inlineStr">
        <is>
          <t>VÄRMLANDS LÄN</t>
        </is>
      </c>
      <c r="G156" t="inlineStr">
        <is>
          <t>SÄFFLE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73157-2021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44550</v>
      </c>
      <c r="E157" s="1" t="n">
        <v>46221</v>
      </c>
      <c r="F157" t="inlineStr">
        <is>
          <t>VÄRMLANDS LÄN</t>
        </is>
      </c>
      <c r="G157" t="inlineStr">
        <is>
          <t>SÄFFLE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50442-2022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46221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46221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23337-2024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46221</v>
      </c>
      <c r="F160" t="inlineStr">
        <is>
          <t>VÄRMLANDS LÄN</t>
        </is>
      </c>
      <c r="G160" t="inlineStr">
        <is>
          <t>SÄFFLE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32096-2023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46221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46221</v>
      </c>
      <c r="F162" t="inlineStr">
        <is>
          <t>VÄRMLANDS LÄN</t>
        </is>
      </c>
      <c r="G162" t="inlineStr">
        <is>
          <t>SÄFFLE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44346-2024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45573</v>
      </c>
      <c r="E163" s="1" t="n">
        <v>46221</v>
      </c>
      <c r="F163" t="inlineStr">
        <is>
          <t>VÄRMLANDS LÄN</t>
        </is>
      </c>
      <c r="G163" t="inlineStr">
        <is>
          <t>SÄFFLE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21074-2024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46221</v>
      </c>
      <c r="F164" t="inlineStr">
        <is>
          <t>VÄRMLANDS LÄN</t>
        </is>
      </c>
      <c r="G164" t="inlineStr">
        <is>
          <t>SÄFFLE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46221</v>
      </c>
      <c r="F165" t="inlineStr">
        <is>
          <t>VÄRMLANDS LÄN</t>
        </is>
      </c>
      <c r="G165" t="inlineStr">
        <is>
          <t>SÄFFLE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46221</v>
      </c>
      <c r="F166" t="inlineStr">
        <is>
          <t>VÄRMLANDS LÄN</t>
        </is>
      </c>
      <c r="G166" t="inlineStr">
        <is>
          <t>SÄFFLE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46221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46221</v>
      </c>
      <c r="F168" t="inlineStr">
        <is>
          <t>VÄRMLANDS LÄN</t>
        </is>
      </c>
      <c r="G168" t="inlineStr">
        <is>
          <t>SÄFFLE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23737-2024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45454</v>
      </c>
      <c r="E169" s="1" t="n">
        <v>46221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6829-2024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46221</v>
      </c>
      <c r="F170" t="inlineStr">
        <is>
          <t>VÄRMLANDS LÄN</t>
        </is>
      </c>
      <c r="G170" t="inlineStr">
        <is>
          <t>SÄFFLE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64803-2021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44512</v>
      </c>
      <c r="E171" s="1" t="n">
        <v>46221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63673-2021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46221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47992-2024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46221</v>
      </c>
      <c r="F173" t="inlineStr">
        <is>
          <t>VÄRMLANDS LÄN</t>
        </is>
      </c>
      <c r="G173" t="inlineStr">
        <is>
          <t>SÄFFLE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46221</v>
      </c>
      <c r="F174" t="inlineStr">
        <is>
          <t>VÄRMLANDS LÄN</t>
        </is>
      </c>
      <c r="G174" t="inlineStr">
        <is>
          <t>SÄFFLE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58067-2024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45631</v>
      </c>
      <c r="E175" s="1" t="n">
        <v>46221</v>
      </c>
      <c r="F175" t="inlineStr">
        <is>
          <t>VÄRMLANDS LÄN</t>
        </is>
      </c>
      <c r="G175" t="inlineStr">
        <is>
          <t>SÄFFLE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32877-2024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45516</v>
      </c>
      <c r="E176" s="1" t="n">
        <v>46221</v>
      </c>
      <c r="F176" t="inlineStr">
        <is>
          <t>VÄRMLANDS LÄN</t>
        </is>
      </c>
      <c r="G176" t="inlineStr">
        <is>
          <t>SÄFFLE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18174-2024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45420</v>
      </c>
      <c r="E177" s="1" t="n">
        <v>46221</v>
      </c>
      <c r="F177" t="inlineStr">
        <is>
          <t>VÄRMLANDS LÄN</t>
        </is>
      </c>
      <c r="G177" t="inlineStr">
        <is>
          <t>SÄFFLE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19506-2023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45050</v>
      </c>
      <c r="E178" s="1" t="n">
        <v>46221</v>
      </c>
      <c r="F178" t="inlineStr">
        <is>
          <t>VÄRMLANDS LÄN</t>
        </is>
      </c>
      <c r="G178" t="inlineStr">
        <is>
          <t>SÄFFLE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19508-2023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45050</v>
      </c>
      <c r="E179" s="1" t="n">
        <v>46221</v>
      </c>
      <c r="F179" t="inlineStr">
        <is>
          <t>VÄRMLANDS LÄN</t>
        </is>
      </c>
      <c r="G179" t="inlineStr">
        <is>
          <t>SÄFFLE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19385-2024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45428</v>
      </c>
      <c r="E180" s="1" t="n">
        <v>46221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12228-2025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46221</v>
      </c>
      <c r="F181" t="inlineStr">
        <is>
          <t>VÄRMLANDS LÄN</t>
        </is>
      </c>
      <c r="G181" t="inlineStr">
        <is>
          <t>SÄFFLE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46221</v>
      </c>
      <c r="F182" t="inlineStr">
        <is>
          <t>VÄRMLANDS LÄN</t>
        </is>
      </c>
      <c r="G182" t="inlineStr">
        <is>
          <t>SÄFFLE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35878-2023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45148</v>
      </c>
      <c r="E183" s="1" t="n">
        <v>46221</v>
      </c>
      <c r="F183" t="inlineStr">
        <is>
          <t>VÄRMLANDS LÄN</t>
        </is>
      </c>
      <c r="G183" t="inlineStr">
        <is>
          <t>SÄFFLE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46221</v>
      </c>
      <c r="F184" t="inlineStr">
        <is>
          <t>VÄRMLANDS LÄN</t>
        </is>
      </c>
      <c r="G184" t="inlineStr">
        <is>
          <t>SÄFFLE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46221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44564</v>
      </c>
      <c r="E186" s="1" t="n">
        <v>46221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46221</v>
      </c>
      <c r="F187" t="inlineStr">
        <is>
          <t>VÄRMLANDS LÄN</t>
        </is>
      </c>
      <c r="G187" t="inlineStr">
        <is>
          <t>SÄFFLE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46221</v>
      </c>
      <c r="F188" t="inlineStr">
        <is>
          <t>VÄRMLANDS LÄN</t>
        </is>
      </c>
      <c r="G188" t="inlineStr">
        <is>
          <t>SÄFFLE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46221</v>
      </c>
      <c r="F189" t="inlineStr">
        <is>
          <t>VÄRMLANDS LÄN</t>
        </is>
      </c>
      <c r="G189" t="inlineStr">
        <is>
          <t>SÄFFLE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45647-2023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45194</v>
      </c>
      <c r="E190" s="1" t="n">
        <v>46221</v>
      </c>
      <c r="F190" t="inlineStr">
        <is>
          <t>VÄRMLANDS LÄN</t>
        </is>
      </c>
      <c r="G190" t="inlineStr">
        <is>
          <t>SÄFFLE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46221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46221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46221</v>
      </c>
      <c r="F193" t="inlineStr">
        <is>
          <t>VÄRMLANDS LÄN</t>
        </is>
      </c>
      <c r="G193" t="inlineStr">
        <is>
          <t>SÄFFLE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33672-2024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46221</v>
      </c>
      <c r="F194" t="inlineStr">
        <is>
          <t>VÄRMLANDS LÄN</t>
        </is>
      </c>
      <c r="G194" t="inlineStr">
        <is>
          <t>SÄFFLE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46221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46041</v>
      </c>
      <c r="E196" s="1" t="n">
        <v>46221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46221</v>
      </c>
      <c r="F197" t="inlineStr">
        <is>
          <t>VÄRMLANDS LÄN</t>
        </is>
      </c>
      <c r="G197" t="inlineStr">
        <is>
          <t>SÄFFLE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9252-2024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45358</v>
      </c>
      <c r="E198" s="1" t="n">
        <v>46221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46575-2024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46221</v>
      </c>
      <c r="F199" t="inlineStr">
        <is>
          <t>VÄRMLANDS LÄN</t>
        </is>
      </c>
      <c r="G199" t="inlineStr">
        <is>
          <t>SÄFFLE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51640-2022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44872</v>
      </c>
      <c r="E200" s="1" t="n">
        <v>46221</v>
      </c>
      <c r="F200" t="inlineStr">
        <is>
          <t>VÄRMLANDS LÄN</t>
        </is>
      </c>
      <c r="G200" t="inlineStr">
        <is>
          <t>SÄFFLE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31199-2024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45503</v>
      </c>
      <c r="E201" s="1" t="n">
        <v>46221</v>
      </c>
      <c r="F201" t="inlineStr">
        <is>
          <t>VÄRMLANDS LÄN</t>
        </is>
      </c>
      <c r="G201" t="inlineStr">
        <is>
          <t>SÄFFLE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46221</v>
      </c>
      <c r="F202" t="inlineStr">
        <is>
          <t>VÄRMLANDS LÄN</t>
        </is>
      </c>
      <c r="G202" t="inlineStr">
        <is>
          <t>SÄFFLE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6959-2024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46221</v>
      </c>
      <c r="F203" t="inlineStr">
        <is>
          <t>VÄRMLANDS LÄN</t>
        </is>
      </c>
      <c r="G203" t="inlineStr">
        <is>
          <t>SÄFFLE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46221</v>
      </c>
      <c r="F204" t="inlineStr">
        <is>
          <t>VÄRMLANDS LÄN</t>
        </is>
      </c>
      <c r="G204" t="inlineStr">
        <is>
          <t>SÄFFLE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46221</v>
      </c>
      <c r="F205" t="inlineStr">
        <is>
          <t>VÄRMLANDS LÄN</t>
        </is>
      </c>
      <c r="G205" t="inlineStr">
        <is>
          <t>SÄFFLE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10875-2022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46221</v>
      </c>
      <c r="F206" t="inlineStr">
        <is>
          <t>VÄRMLANDS LÄN</t>
        </is>
      </c>
      <c r="G206" t="inlineStr">
        <is>
          <t>SÄFFLE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46221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46221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46221</v>
      </c>
      <c r="F209" t="inlineStr">
        <is>
          <t>VÄRMLANDS LÄN</t>
        </is>
      </c>
      <c r="G209" t="inlineStr">
        <is>
          <t>SÄFFLE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46221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26948-2025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46221</v>
      </c>
      <c r="F211" t="inlineStr">
        <is>
          <t>VÄRMLANDS LÄN</t>
        </is>
      </c>
      <c r="G211" t="inlineStr">
        <is>
          <t>SÄFFLE</t>
        </is>
      </c>
      <c r="H211" t="inlineStr">
        <is>
          <t>Bergvik skog väst AB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46221</v>
      </c>
      <c r="F212" t="inlineStr">
        <is>
          <t>VÄRMLANDS LÄN</t>
        </is>
      </c>
      <c r="G212" t="inlineStr">
        <is>
          <t>SÄFFLE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46221</v>
      </c>
      <c r="F213" t="inlineStr">
        <is>
          <t>VÄRMLANDS LÄN</t>
        </is>
      </c>
      <c r="G213" t="inlineStr">
        <is>
          <t>SÄFFLE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27128-2025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46221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17971-2024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46221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46221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46221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46221</v>
      </c>
      <c r="F218" t="inlineStr">
        <is>
          <t>VÄRMLANDS LÄN</t>
        </is>
      </c>
      <c r="G218" t="inlineStr">
        <is>
          <t>SÄFFLE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28484-2025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46221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45877</v>
      </c>
      <c r="E220" s="1" t="n">
        <v>46221</v>
      </c>
      <c r="F220" t="inlineStr">
        <is>
          <t>VÄRMLANDS LÄN</t>
        </is>
      </c>
      <c r="G220" t="inlineStr">
        <is>
          <t>SÄFFLE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46221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2743-2022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44580</v>
      </c>
      <c r="E222" s="1" t="n">
        <v>46221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14149-2025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46221</v>
      </c>
      <c r="F223" t="inlineStr">
        <is>
          <t>VÄRMLANDS LÄN</t>
        </is>
      </c>
      <c r="G223" t="inlineStr">
        <is>
          <t>SÄFFLE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23259-2022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44720</v>
      </c>
      <c r="E224" s="1" t="n">
        <v>46221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61608-2024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46221</v>
      </c>
      <c r="F225" t="inlineStr">
        <is>
          <t>VÄRMLANDS LÄN</t>
        </is>
      </c>
      <c r="G225" t="inlineStr">
        <is>
          <t>SÄFFLE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53915-2023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45231</v>
      </c>
      <c r="E226" s="1" t="n">
        <v>46221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46221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46221</v>
      </c>
      <c r="F228" t="inlineStr">
        <is>
          <t>VÄRMLANDS LÄN</t>
        </is>
      </c>
      <c r="G228" t="inlineStr">
        <is>
          <t>SÄFFLE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55847-2023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46221</v>
      </c>
      <c r="F229" t="inlineStr">
        <is>
          <t>VÄRMLANDS LÄN</t>
        </is>
      </c>
      <c r="G229" t="inlineStr">
        <is>
          <t>SÄFFLE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46221</v>
      </c>
      <c r="F230" t="inlineStr">
        <is>
          <t>VÄRMLANDS LÄN</t>
        </is>
      </c>
      <c r="G230" t="inlineStr">
        <is>
          <t>SÄFFLE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39184-2025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46221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46221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39178-2025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46221</v>
      </c>
      <c r="F233" t="inlineStr">
        <is>
          <t>VÄRMLANDS LÄN</t>
        </is>
      </c>
      <c r="G233" t="inlineStr">
        <is>
          <t>SÄFFLE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18040-2025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45761</v>
      </c>
      <c r="E234" s="1" t="n">
        <v>46221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61614-2024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46221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46221</v>
      </c>
      <c r="F236" t="inlineStr">
        <is>
          <t>VÄRMLANDS LÄN</t>
        </is>
      </c>
      <c r="G236" t="inlineStr">
        <is>
          <t>SÄFFLE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31855-2025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46221</v>
      </c>
      <c r="F237" t="inlineStr">
        <is>
          <t>VÄRMLANDS LÄN</t>
        </is>
      </c>
      <c r="G237" t="inlineStr">
        <is>
          <t>SÄFFLE</t>
        </is>
      </c>
      <c r="H237" t="inlineStr">
        <is>
          <t>Kyrkan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43766-2024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46221</v>
      </c>
      <c r="F238" t="inlineStr">
        <is>
          <t>VÄRMLANDS LÄN</t>
        </is>
      </c>
      <c r="G238" t="inlineStr">
        <is>
          <t>SÄFFLE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46221</v>
      </c>
      <c r="F239" t="inlineStr">
        <is>
          <t>VÄRMLANDS LÄN</t>
        </is>
      </c>
      <c r="G239" t="inlineStr">
        <is>
          <t>SÄFFLE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46046</v>
      </c>
      <c r="E240" s="1" t="n">
        <v>46221</v>
      </c>
      <c r="F240" t="inlineStr">
        <is>
          <t>VÄRMLANDS LÄN</t>
        </is>
      </c>
      <c r="G240" t="inlineStr">
        <is>
          <t>SÄFFLE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45890</v>
      </c>
      <c r="E241" s="1" t="n">
        <v>46221</v>
      </c>
      <c r="F241" t="inlineStr">
        <is>
          <t>VÄRMLANDS LÄN</t>
        </is>
      </c>
      <c r="G241" t="inlineStr">
        <is>
          <t>SÄFFLE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46221</v>
      </c>
      <c r="F242" t="inlineStr">
        <is>
          <t>VÄRMLANDS LÄN</t>
        </is>
      </c>
      <c r="G242" t="inlineStr">
        <is>
          <t>SÄFFLE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39985-2025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45893</v>
      </c>
      <c r="E243" s="1" t="n">
        <v>46221</v>
      </c>
      <c r="F243" t="inlineStr">
        <is>
          <t>VÄRMLANDS LÄN</t>
        </is>
      </c>
      <c r="G243" t="inlineStr">
        <is>
          <t>SÄFFLE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39983-2025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45893</v>
      </c>
      <c r="E244" s="1" t="n">
        <v>46221</v>
      </c>
      <c r="F244" t="inlineStr">
        <is>
          <t>VÄRMLANDS LÄN</t>
        </is>
      </c>
      <c r="G244" t="inlineStr">
        <is>
          <t>SÄFFLE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44574</v>
      </c>
      <c r="E245" s="1" t="n">
        <v>46221</v>
      </c>
      <c r="F245" t="inlineStr">
        <is>
          <t>VÄRMLANDS LÄN</t>
        </is>
      </c>
      <c r="G245" t="inlineStr">
        <is>
          <t>SÄFFLE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39984-2025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45893</v>
      </c>
      <c r="E246" s="1" t="n">
        <v>46221</v>
      </c>
      <c r="F246" t="inlineStr">
        <is>
          <t>VÄRMLANDS LÄN</t>
        </is>
      </c>
      <c r="G246" t="inlineStr">
        <is>
          <t>SÄFFLE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39986-2025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45893</v>
      </c>
      <c r="E247" s="1" t="n">
        <v>46221</v>
      </c>
      <c r="F247" t="inlineStr">
        <is>
          <t>VÄRMLANDS LÄN</t>
        </is>
      </c>
      <c r="G247" t="inlineStr">
        <is>
          <t>SÄFFLE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46046</v>
      </c>
      <c r="E248" s="1" t="n">
        <v>46221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46221</v>
      </c>
      <c r="F249" t="inlineStr">
        <is>
          <t>VÄRMLANDS LÄN</t>
        </is>
      </c>
      <c r="G249" t="inlineStr">
        <is>
          <t>SÄFFLE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42377-2024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45564</v>
      </c>
      <c r="E250" s="1" t="n">
        <v>46221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40364-2025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46221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51593-2023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46221</v>
      </c>
      <c r="F252" t="inlineStr">
        <is>
          <t>VÄRMLANDS LÄN</t>
        </is>
      </c>
      <c r="G252" t="inlineStr">
        <is>
          <t>SÄFFLE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29593-2025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46221</v>
      </c>
      <c r="F253" t="inlineStr">
        <is>
          <t>VÄRMLANDS LÄN</t>
        </is>
      </c>
      <c r="G253" t="inlineStr">
        <is>
          <t>SÄFFLE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40363-2025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46221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46221</v>
      </c>
      <c r="F255" t="inlineStr">
        <is>
          <t>VÄRMLANDS LÄN</t>
        </is>
      </c>
      <c r="G255" t="inlineStr">
        <is>
          <t>SÄFFLE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17772-2024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45418</v>
      </c>
      <c r="E256" s="1" t="n">
        <v>46221</v>
      </c>
      <c r="F256" t="inlineStr">
        <is>
          <t>VÄRMLANDS LÄN</t>
        </is>
      </c>
      <c r="G256" t="inlineStr">
        <is>
          <t>SÄFFLE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46221</v>
      </c>
      <c r="F257" t="inlineStr">
        <is>
          <t>VÄRMLANDS LÄN</t>
        </is>
      </c>
      <c r="G257" t="inlineStr">
        <is>
          <t>SÄFFLE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4286-2026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46045</v>
      </c>
      <c r="E258" s="1" t="n">
        <v>46221</v>
      </c>
      <c r="F258" t="inlineStr">
        <is>
          <t>VÄRMLANDS LÄN</t>
        </is>
      </c>
      <c r="G258" t="inlineStr">
        <is>
          <t>SÄFFLE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15412-2022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44659</v>
      </c>
      <c r="E259" s="1" t="n">
        <v>46221</v>
      </c>
      <c r="F259" t="inlineStr">
        <is>
          <t>VÄRMLANDS LÄN</t>
        </is>
      </c>
      <c r="G259" t="inlineStr">
        <is>
          <t>SÄFFLE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46221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4284-2026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46045</v>
      </c>
      <c r="E261" s="1" t="n">
        <v>46221</v>
      </c>
      <c r="F261" t="inlineStr">
        <is>
          <t>VÄRMLANDS LÄN</t>
        </is>
      </c>
      <c r="G261" t="inlineStr">
        <is>
          <t>SÄFFLE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17396-2022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46221</v>
      </c>
      <c r="F262" t="inlineStr">
        <is>
          <t>VÄRMLANDS LÄN</t>
        </is>
      </c>
      <c r="G262" t="inlineStr">
        <is>
          <t>SÄFFLE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46221</v>
      </c>
      <c r="F263" t="inlineStr">
        <is>
          <t>VÄRMLANDS LÄN</t>
        </is>
      </c>
      <c r="G263" t="inlineStr">
        <is>
          <t>SÄFFLE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30505-2025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46221</v>
      </c>
      <c r="F264" t="inlineStr">
        <is>
          <t>VÄRMLANDS LÄN</t>
        </is>
      </c>
      <c r="G264" t="inlineStr">
        <is>
          <t>SÄFFLE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30506-2025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46221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41681-2025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46221</v>
      </c>
      <c r="F266" t="inlineStr">
        <is>
          <t>VÄRMLANDS LÄN</t>
        </is>
      </c>
      <c r="G266" t="inlineStr">
        <is>
          <t>SÄFFLE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46221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41542-2025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46221</v>
      </c>
      <c r="F268" t="inlineStr">
        <is>
          <t>VÄRMLANDS LÄN</t>
        </is>
      </c>
      <c r="G268" t="inlineStr">
        <is>
          <t>SÄFFLE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31245-2025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45832</v>
      </c>
      <c r="E269" s="1" t="n">
        <v>46221</v>
      </c>
      <c r="F269" t="inlineStr">
        <is>
          <t>VÄRMLANDS LÄN</t>
        </is>
      </c>
      <c r="G269" t="inlineStr">
        <is>
          <t>SÄFFLE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46221</v>
      </c>
      <c r="F270" t="inlineStr">
        <is>
          <t>VÄRMLANDS LÄN</t>
        </is>
      </c>
      <c r="G270" t="inlineStr">
        <is>
          <t>SÄFFLE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8205-2025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45707</v>
      </c>
      <c r="E271" s="1" t="n">
        <v>46221</v>
      </c>
      <c r="F271" t="inlineStr">
        <is>
          <t>VÄRMLANDS LÄN</t>
        </is>
      </c>
      <c r="G271" t="inlineStr">
        <is>
          <t>SÄFFLE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46221</v>
      </c>
      <c r="F272" t="inlineStr">
        <is>
          <t>VÄRMLANDS LÄN</t>
        </is>
      </c>
      <c r="G272" t="inlineStr">
        <is>
          <t>SÄFFLE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10240-2023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46221</v>
      </c>
      <c r="F273" t="inlineStr">
        <is>
          <t>VÄRMLANDS LÄN</t>
        </is>
      </c>
      <c r="G273" t="inlineStr">
        <is>
          <t>SÄFFLE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46221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42696-2025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46221</v>
      </c>
      <c r="F275" t="inlineStr">
        <is>
          <t>VÄRMLANDS LÄN</t>
        </is>
      </c>
      <c r="G275" t="inlineStr">
        <is>
          <t>SÄFFLE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27979-2022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44745</v>
      </c>
      <c r="E276" s="1" t="n">
        <v>46221</v>
      </c>
      <c r="F276" t="inlineStr">
        <is>
          <t>VÄRMLANDS LÄN</t>
        </is>
      </c>
      <c r="G276" t="inlineStr">
        <is>
          <t>SÄFFLE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55616-2023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46221</v>
      </c>
      <c r="F277" t="inlineStr">
        <is>
          <t>VÄRMLANDS LÄN</t>
        </is>
      </c>
      <c r="G277" t="inlineStr">
        <is>
          <t>SÄFFLE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32162-2025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46221</v>
      </c>
      <c r="F278" t="inlineStr">
        <is>
          <t>VÄRMLANDS LÄN</t>
        </is>
      </c>
      <c r="G278" t="inlineStr">
        <is>
          <t>SÄFFLE</t>
        </is>
      </c>
      <c r="H278" t="inlineStr">
        <is>
          <t>Kyrkan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43209-2025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45910</v>
      </c>
      <c r="E279" s="1" t="n">
        <v>46221</v>
      </c>
      <c r="F279" t="inlineStr">
        <is>
          <t>VÄRMLANDS LÄN</t>
        </is>
      </c>
      <c r="G279" t="inlineStr">
        <is>
          <t>SÄFFLE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46221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45426</v>
      </c>
      <c r="E281" s="1" t="n">
        <v>46221</v>
      </c>
      <c r="F281" t="inlineStr">
        <is>
          <t>VÄRMLANDS LÄN</t>
        </is>
      </c>
      <c r="G281" t="inlineStr">
        <is>
          <t>SÄFFLE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43341-2025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46221</v>
      </c>
      <c r="F282" t="inlineStr">
        <is>
          <t>VÄRMLANDS LÄN</t>
        </is>
      </c>
      <c r="G282" t="inlineStr">
        <is>
          <t>SÄFFLE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43839-2025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46221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41368-2024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46221</v>
      </c>
      <c r="F284" t="inlineStr">
        <is>
          <t>VÄRMLANDS LÄN</t>
        </is>
      </c>
      <c r="G284" t="inlineStr">
        <is>
          <t>SÄFFLE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43849-2025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46221</v>
      </c>
      <c r="F285" t="inlineStr">
        <is>
          <t>VÄRMLANDS LÄN</t>
        </is>
      </c>
      <c r="G285" t="inlineStr">
        <is>
          <t>SÄFFLE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44679</v>
      </c>
      <c r="E286" s="1" t="n">
        <v>46221</v>
      </c>
      <c r="F286" t="inlineStr">
        <is>
          <t>VÄRMLANDS LÄN</t>
        </is>
      </c>
      <c r="G286" t="inlineStr">
        <is>
          <t>SÄFFLE</t>
        </is>
      </c>
      <c r="I286" t="n">
        <v>13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37422-2023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46221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45397</v>
      </c>
      <c r="E288" s="1" t="n">
        <v>46221</v>
      </c>
      <c r="F288" t="inlineStr">
        <is>
          <t>VÄRMLANDS LÄN</t>
        </is>
      </c>
      <c r="G288" t="inlineStr">
        <is>
          <t>SÄFFLE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40028-2023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46221</v>
      </c>
      <c r="F289" t="inlineStr">
        <is>
          <t>VÄRMLANDS LÄN</t>
        </is>
      </c>
      <c r="G289" t="inlineStr">
        <is>
          <t>SÄFFLE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33749-2025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46221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44038-2025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46221</v>
      </c>
      <c r="F291" t="inlineStr">
        <is>
          <t>VÄRMLANDS LÄN</t>
        </is>
      </c>
      <c r="G291" t="inlineStr">
        <is>
          <t>SÄFFLE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27031-2023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46221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33867-2025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46221</v>
      </c>
      <c r="F293" t="inlineStr">
        <is>
          <t>VÄRMLANDS LÄN</t>
        </is>
      </c>
      <c r="G293" t="inlineStr">
        <is>
          <t>SÄFFLE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46221</v>
      </c>
      <c r="F294" t="inlineStr">
        <is>
          <t>VÄRMLANDS LÄN</t>
        </is>
      </c>
      <c r="G294" t="inlineStr">
        <is>
          <t>SÄFFLE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11633-2023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46221</v>
      </c>
      <c r="F295" t="inlineStr">
        <is>
          <t>VÄRMLANDS LÄN</t>
        </is>
      </c>
      <c r="G295" t="inlineStr">
        <is>
          <t>SÄFFLE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46221</v>
      </c>
      <c r="F296" t="inlineStr">
        <is>
          <t>VÄRMLANDS LÄN</t>
        </is>
      </c>
      <c r="G296" t="inlineStr">
        <is>
          <t>SÄFFLE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31247-2025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45832</v>
      </c>
      <c r="E297" s="1" t="n">
        <v>46221</v>
      </c>
      <c r="F297" t="inlineStr">
        <is>
          <t>VÄRMLANDS LÄN</t>
        </is>
      </c>
      <c r="G297" t="inlineStr">
        <is>
          <t>SÄFFLE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21974-2023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45068</v>
      </c>
      <c r="E298" s="1" t="n">
        <v>46221</v>
      </c>
      <c r="F298" t="inlineStr">
        <is>
          <t>VÄRMLANDS LÄN</t>
        </is>
      </c>
      <c r="G298" t="inlineStr">
        <is>
          <t>SÄFFLE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9261-2024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45358</v>
      </c>
      <c r="E299" s="1" t="n">
        <v>46221</v>
      </c>
      <c r="F299" t="inlineStr">
        <is>
          <t>VÄRMLANDS LÄN</t>
        </is>
      </c>
      <c r="G299" t="inlineStr">
        <is>
          <t>SÄFFLE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58878-2021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46221</v>
      </c>
      <c r="F300" t="inlineStr">
        <is>
          <t>VÄRMLANDS LÄN</t>
        </is>
      </c>
      <c r="G300" t="inlineStr">
        <is>
          <t>SÄFFLE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46221</v>
      </c>
      <c r="F301" t="inlineStr">
        <is>
          <t>VÄRMLANDS LÄN</t>
        </is>
      </c>
      <c r="G301" t="inlineStr">
        <is>
          <t>SÄFFLE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46221</v>
      </c>
      <c r="F302" t="inlineStr">
        <is>
          <t>VÄRMLANDS LÄN</t>
        </is>
      </c>
      <c r="G302" t="inlineStr">
        <is>
          <t>SÄFFLE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34581-2025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45847</v>
      </c>
      <c r="E303" s="1" t="n">
        <v>46221</v>
      </c>
      <c r="F303" t="inlineStr">
        <is>
          <t>VÄRMLANDS LÄN</t>
        </is>
      </c>
      <c r="G303" t="inlineStr">
        <is>
          <t>SÄFFLE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46221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34583-2025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45847</v>
      </c>
      <c r="E305" s="1" t="n">
        <v>46221</v>
      </c>
      <c r="F305" t="inlineStr">
        <is>
          <t>VÄRMLANDS LÄN</t>
        </is>
      </c>
      <c r="G305" t="inlineStr">
        <is>
          <t>SÄFFLE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34578-2025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46221</v>
      </c>
      <c r="F306" t="inlineStr">
        <is>
          <t>VÄRMLANDS LÄN</t>
        </is>
      </c>
      <c r="G306" t="inlineStr">
        <is>
          <t>SÄFFLE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46221</v>
      </c>
      <c r="F307" t="inlineStr">
        <is>
          <t>VÄRMLANDS LÄN</t>
        </is>
      </c>
      <c r="G307" t="inlineStr">
        <is>
          <t>SÄFFLE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61940-2023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46221</v>
      </c>
      <c r="F308" t="inlineStr">
        <is>
          <t>VÄRMLANDS LÄN</t>
        </is>
      </c>
      <c r="G308" t="inlineStr">
        <is>
          <t>SÄFFLE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26611-2025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45808</v>
      </c>
      <c r="E309" s="1" t="n">
        <v>46221</v>
      </c>
      <c r="F309" t="inlineStr">
        <is>
          <t>VÄRMLANDS LÄN</t>
        </is>
      </c>
      <c r="G309" t="inlineStr">
        <is>
          <t>SÄFFLE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46214-2025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46221</v>
      </c>
      <c r="F310" t="inlineStr">
        <is>
          <t>VÄRMLANDS LÄN</t>
        </is>
      </c>
      <c r="G310" t="inlineStr">
        <is>
          <t>SÄFFLE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46221</v>
      </c>
      <c r="F311" t="inlineStr">
        <is>
          <t>VÄRMLANDS LÄN</t>
        </is>
      </c>
      <c r="G311" t="inlineStr">
        <is>
          <t>SÄFFLE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46391-2025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45925</v>
      </c>
      <c r="E312" s="1" t="n">
        <v>46221</v>
      </c>
      <c r="F312" t="inlineStr">
        <is>
          <t>VÄRMLANDS LÄN</t>
        </is>
      </c>
      <c r="G312" t="inlineStr">
        <is>
          <t>SÄFFLE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56506-2023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46221</v>
      </c>
      <c r="F313" t="inlineStr">
        <is>
          <t>VÄRMLANDS LÄN</t>
        </is>
      </c>
      <c r="G313" t="inlineStr">
        <is>
          <t>SÄFFLE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46221</v>
      </c>
      <c r="F314" t="inlineStr">
        <is>
          <t>VÄRMLANDS LÄN</t>
        </is>
      </c>
      <c r="G314" t="inlineStr">
        <is>
          <t>SÄFFLE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6393-2026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46221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13650-2023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45006</v>
      </c>
      <c r="E316" s="1" t="n">
        <v>46221</v>
      </c>
      <c r="F316" t="inlineStr">
        <is>
          <t>VÄRMLANDS LÄN</t>
        </is>
      </c>
      <c r="G316" t="inlineStr">
        <is>
          <t>SÄFFLE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47836-2025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46221</v>
      </c>
      <c r="F317" t="inlineStr">
        <is>
          <t>VÄRMLANDS LÄN</t>
        </is>
      </c>
      <c r="G317" t="inlineStr">
        <is>
          <t>SÄFFLE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47943-2025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46221</v>
      </c>
      <c r="F318" t="inlineStr">
        <is>
          <t>VÄRMLANDS LÄN</t>
        </is>
      </c>
      <c r="G318" t="inlineStr">
        <is>
          <t>SÄFFLE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46221</v>
      </c>
      <c r="F319" t="inlineStr">
        <is>
          <t>VÄRMLANDS LÄN</t>
        </is>
      </c>
      <c r="G319" t="inlineStr">
        <is>
          <t>SÄFFLE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43099-2024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45567</v>
      </c>
      <c r="E320" s="1" t="n">
        <v>46221</v>
      </c>
      <c r="F320" t="inlineStr">
        <is>
          <t>VÄRMLANDS LÄN</t>
        </is>
      </c>
      <c r="G320" t="inlineStr">
        <is>
          <t>SÄFFLE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27233-2024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45471</v>
      </c>
      <c r="E321" s="1" t="n">
        <v>46221</v>
      </c>
      <c r="F321" t="inlineStr">
        <is>
          <t>VÄRMLANDS LÄN</t>
        </is>
      </c>
      <c r="G321" t="inlineStr">
        <is>
          <t>SÄFFLE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46221</v>
      </c>
      <c r="F322" t="inlineStr">
        <is>
          <t>VÄRMLANDS LÄN</t>
        </is>
      </c>
      <c r="G322" t="inlineStr">
        <is>
          <t>SÄFFLE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36899-2025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45874</v>
      </c>
      <c r="E323" s="1" t="n">
        <v>46221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49315-2025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46221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36855-2025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46221</v>
      </c>
      <c r="F325" t="inlineStr">
        <is>
          <t>VÄRMLANDS LÄN</t>
        </is>
      </c>
      <c r="G325" t="inlineStr">
        <is>
          <t>SÄFFLE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49117-2025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46221</v>
      </c>
      <c r="F326" t="inlineStr">
        <is>
          <t>VÄRMLANDS LÄN</t>
        </is>
      </c>
      <c r="G326" t="inlineStr">
        <is>
          <t>SÄFFLE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44499-2023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46221</v>
      </c>
      <c r="F327" t="inlineStr">
        <is>
          <t>VÄRMLANDS LÄN</t>
        </is>
      </c>
      <c r="G327" t="inlineStr">
        <is>
          <t>SÄFFLE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63787-2021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46221</v>
      </c>
      <c r="F328" t="inlineStr">
        <is>
          <t>VÄRMLANDS LÄN</t>
        </is>
      </c>
      <c r="G328" t="inlineStr">
        <is>
          <t>SÄFFLE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11475-2023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44993</v>
      </c>
      <c r="E329" s="1" t="n">
        <v>46221</v>
      </c>
      <c r="F329" t="inlineStr">
        <is>
          <t>VÄRMLANDS LÄN</t>
        </is>
      </c>
      <c r="G329" t="inlineStr">
        <is>
          <t>SÄFFLE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8909-2023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46221</v>
      </c>
      <c r="F330" t="inlineStr">
        <is>
          <t>VÄRMLANDS LÄN</t>
        </is>
      </c>
      <c r="G330" t="inlineStr">
        <is>
          <t>SÄFFLE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45871</v>
      </c>
      <c r="E331" s="1" t="n">
        <v>46221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50089-2025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46221</v>
      </c>
      <c r="F332" t="inlineStr">
        <is>
          <t>VÄRMLANDS LÄN</t>
        </is>
      </c>
      <c r="G332" t="inlineStr">
        <is>
          <t>SÄFFLE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50359-2025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45944</v>
      </c>
      <c r="E333" s="1" t="n">
        <v>46221</v>
      </c>
      <c r="F333" t="inlineStr">
        <is>
          <t>VÄRMLANDS LÄN</t>
        </is>
      </c>
      <c r="G333" t="inlineStr">
        <is>
          <t>SÄFFLE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50362-2025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46221</v>
      </c>
      <c r="F334" t="inlineStr">
        <is>
          <t>VÄRMLANDS LÄN</t>
        </is>
      </c>
      <c r="G334" t="inlineStr">
        <is>
          <t>SÄFFLE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46221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15333-2025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45746</v>
      </c>
      <c r="E336" s="1" t="n">
        <v>46221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45310</v>
      </c>
      <c r="E337" s="1" t="n">
        <v>46221</v>
      </c>
      <c r="F337" t="inlineStr">
        <is>
          <t>VÄRMLANDS LÄN</t>
        </is>
      </c>
      <c r="G337" t="inlineStr">
        <is>
          <t>SÄFFLE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50399-2025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46221</v>
      </c>
      <c r="F338" t="inlineStr">
        <is>
          <t>VÄRMLANDS LÄN</t>
        </is>
      </c>
      <c r="G338" t="inlineStr">
        <is>
          <t>SÄFFLE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19218-2025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46221</v>
      </c>
      <c r="F339" t="inlineStr">
        <is>
          <t>VÄRMLANDS LÄN</t>
        </is>
      </c>
      <c r="G339" t="inlineStr">
        <is>
          <t>SÄFFLE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45497</v>
      </c>
      <c r="E340" s="1" t="n">
        <v>46221</v>
      </c>
      <c r="F340" t="inlineStr">
        <is>
          <t>VÄRMLANDS LÄN</t>
        </is>
      </c>
      <c r="G340" t="inlineStr">
        <is>
          <t>SÄFFLE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8114-2026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46221</v>
      </c>
      <c r="F341" t="inlineStr">
        <is>
          <t>VÄRMLANDS LÄN</t>
        </is>
      </c>
      <c r="G341" t="inlineStr">
        <is>
          <t>SÄFFLE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46221</v>
      </c>
      <c r="F342" t="inlineStr">
        <is>
          <t>VÄRMLANDS LÄN</t>
        </is>
      </c>
      <c r="G342" t="inlineStr">
        <is>
          <t>SÄFFLE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50652-2025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46221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50776-2025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46221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62298-2023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46221</v>
      </c>
      <c r="F345" t="inlineStr">
        <is>
          <t>VÄRMLANDS LÄN</t>
        </is>
      </c>
      <c r="G345" t="inlineStr">
        <is>
          <t>SÄFFLE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7410-2022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46221</v>
      </c>
      <c r="F346" t="inlineStr">
        <is>
          <t>VÄRMLANDS LÄN</t>
        </is>
      </c>
      <c r="G346" t="inlineStr">
        <is>
          <t>SÄFFLE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46221</v>
      </c>
      <c r="F347" t="inlineStr">
        <is>
          <t>VÄRMLANDS LÄN</t>
        </is>
      </c>
      <c r="G347" t="inlineStr">
        <is>
          <t>SÄFFLE</t>
        </is>
      </c>
      <c r="I347" t="n">
        <v>46.5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51269-2025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45949</v>
      </c>
      <c r="E348" s="1" t="n">
        <v>46221</v>
      </c>
      <c r="F348" t="inlineStr">
        <is>
          <t>VÄRMLANDS LÄN</t>
        </is>
      </c>
      <c r="G348" t="inlineStr">
        <is>
          <t>SÄFFLE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51388-2025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46221</v>
      </c>
      <c r="F349" t="inlineStr">
        <is>
          <t>VÄRMLANDS LÄN</t>
        </is>
      </c>
      <c r="G349" t="inlineStr">
        <is>
          <t>SÄFFLE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46221</v>
      </c>
      <c r="F350" t="inlineStr">
        <is>
          <t>VÄRMLANDS LÄN</t>
        </is>
      </c>
      <c r="G350" t="inlineStr">
        <is>
          <t>SÄFFLE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46221</v>
      </c>
      <c r="F351" t="inlineStr">
        <is>
          <t>VÄRMLANDS LÄN</t>
        </is>
      </c>
      <c r="G351" t="inlineStr">
        <is>
          <t>SÄFFLE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46221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37859-2025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46221</v>
      </c>
      <c r="F353" t="inlineStr">
        <is>
          <t>VÄRMLANDS LÄN</t>
        </is>
      </c>
      <c r="G353" t="inlineStr">
        <is>
          <t>SÄFFLE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8422-2026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46221</v>
      </c>
      <c r="F354" t="inlineStr">
        <is>
          <t>VÄRMLANDS LÄN</t>
        </is>
      </c>
      <c r="G354" t="inlineStr">
        <is>
          <t>SÄFFLE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44504-2023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46221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13309-2023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46221</v>
      </c>
      <c r="F356" t="inlineStr">
        <is>
          <t>VÄRMLANDS LÄN</t>
        </is>
      </c>
      <c r="G356" t="inlineStr">
        <is>
          <t>SÄFFLE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45113</v>
      </c>
      <c r="E357" s="1" t="n">
        <v>46221</v>
      </c>
      <c r="F357" t="inlineStr">
        <is>
          <t>VÄRMLANDS LÄN</t>
        </is>
      </c>
      <c r="G357" t="inlineStr">
        <is>
          <t>SÄFFLE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31089-2023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46221</v>
      </c>
      <c r="F358" t="inlineStr">
        <is>
          <t>VÄRMLANDS LÄN</t>
        </is>
      </c>
      <c r="G358" t="inlineStr">
        <is>
          <t>SÄFFLE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45692</v>
      </c>
      <c r="E359" s="1" t="n">
        <v>46221</v>
      </c>
      <c r="F359" t="inlineStr">
        <is>
          <t>VÄRMLANDS LÄN</t>
        </is>
      </c>
      <c r="G359" t="inlineStr">
        <is>
          <t>SÄFFLE</t>
        </is>
      </c>
      <c r="I359" t="n">
        <v>19.2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5272-2025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46221</v>
      </c>
      <c r="F360" t="inlineStr">
        <is>
          <t>VÄRMLANDS LÄN</t>
        </is>
      </c>
      <c r="G360" t="inlineStr">
        <is>
          <t>SÄFFLE</t>
        </is>
      </c>
      <c r="I360" t="n">
        <v>20.8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46221</v>
      </c>
      <c r="F361" t="inlineStr">
        <is>
          <t>VÄRMLANDS LÄN</t>
        </is>
      </c>
      <c r="G361" t="inlineStr">
        <is>
          <t>SÄFFLE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53888-2025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45961</v>
      </c>
      <c r="E362" s="1" t="n">
        <v>46221</v>
      </c>
      <c r="F362" t="inlineStr">
        <is>
          <t>VÄRMLANDS LÄN</t>
        </is>
      </c>
      <c r="G362" t="inlineStr">
        <is>
          <t>SÄFFLE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14644-2023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46221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15780-2023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46221</v>
      </c>
      <c r="F364" t="inlineStr">
        <is>
          <t>VÄRMLANDS LÄN</t>
        </is>
      </c>
      <c r="G364" t="inlineStr">
        <is>
          <t>SÄFFLE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9707-2026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46221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9846-2026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46221</v>
      </c>
      <c r="F366" t="inlineStr">
        <is>
          <t>VÄRMLANDS LÄN</t>
        </is>
      </c>
      <c r="G366" t="inlineStr">
        <is>
          <t>SÄFFLE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46221</v>
      </c>
      <c r="F367" t="inlineStr">
        <is>
          <t>VÄRMLANDS LÄN</t>
        </is>
      </c>
      <c r="G367" t="inlineStr">
        <is>
          <t>SÄFFLE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45775</v>
      </c>
      <c r="E368" s="1" t="n">
        <v>46221</v>
      </c>
      <c r="F368" t="inlineStr">
        <is>
          <t>VÄRMLANDS LÄN</t>
        </is>
      </c>
      <c r="G368" t="inlineStr">
        <is>
          <t>SÄFFLE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9922-2026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46221</v>
      </c>
      <c r="F369" t="inlineStr">
        <is>
          <t>VÄRMLANDS LÄN</t>
        </is>
      </c>
      <c r="G369" t="inlineStr">
        <is>
          <t>SÄFFLE</t>
        </is>
      </c>
      <c r="I369" t="n">
        <v>12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42067-2022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46221</v>
      </c>
      <c r="F370" t="inlineStr">
        <is>
          <t>VÄRMLANDS LÄN</t>
        </is>
      </c>
      <c r="G370" t="inlineStr">
        <is>
          <t>SÄFFLE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40808-2023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45171</v>
      </c>
      <c r="E371" s="1" t="n">
        <v>46221</v>
      </c>
      <c r="F371" t="inlineStr">
        <is>
          <t>VÄRMLANDS LÄN</t>
        </is>
      </c>
      <c r="G371" t="inlineStr">
        <is>
          <t>SÄFFLE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53832-2022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46221</v>
      </c>
      <c r="F372" t="inlineStr">
        <is>
          <t>VÄRMLANDS LÄN</t>
        </is>
      </c>
      <c r="G372" t="inlineStr">
        <is>
          <t>SÄFFLE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59224-2021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44490</v>
      </c>
      <c r="E373" s="1" t="n">
        <v>46221</v>
      </c>
      <c r="F373" t="inlineStr">
        <is>
          <t>VÄRMLANDS LÄN</t>
        </is>
      </c>
      <c r="G373" t="inlineStr">
        <is>
          <t>SÄFFLE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8620-2025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46221</v>
      </c>
      <c r="F374" t="inlineStr">
        <is>
          <t>VÄRMLANDS LÄN</t>
        </is>
      </c>
      <c r="G374" t="inlineStr">
        <is>
          <t>SÄFFLE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45676</v>
      </c>
      <c r="E375" s="1" t="n">
        <v>46221</v>
      </c>
      <c r="F375" t="inlineStr">
        <is>
          <t>VÄRMLANDS LÄN</t>
        </is>
      </c>
      <c r="G375" t="inlineStr">
        <is>
          <t>SÄFFLE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11079-2026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46221</v>
      </c>
      <c r="F376" t="inlineStr">
        <is>
          <t>VÄRMLANDS LÄN</t>
        </is>
      </c>
      <c r="G376" t="inlineStr">
        <is>
          <t>SÄFFLE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11081-2026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46221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10800-2026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46221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11070-2026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46221</v>
      </c>
      <c r="F379" t="inlineStr">
        <is>
          <t>VÄRMLANDS LÄN</t>
        </is>
      </c>
      <c r="G379" t="inlineStr">
        <is>
          <t>SÄFFLE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11501-2026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46221</v>
      </c>
      <c r="F380" t="inlineStr">
        <is>
          <t>VÄRMLANDS LÄN</t>
        </is>
      </c>
      <c r="G380" t="inlineStr">
        <is>
          <t>SÄFFLE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11503-2026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46221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11499-2026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46221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71292-2021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44538</v>
      </c>
      <c r="E383" s="1" t="n">
        <v>46221</v>
      </c>
      <c r="F383" t="inlineStr">
        <is>
          <t>VÄRMLANDS LÄN</t>
        </is>
      </c>
      <c r="G383" t="inlineStr">
        <is>
          <t>SÄFFLE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47037-2024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46221</v>
      </c>
      <c r="F384" t="inlineStr">
        <is>
          <t>VÄRMLANDS LÄN</t>
        </is>
      </c>
      <c r="G384" t="inlineStr">
        <is>
          <t>SÄFFLE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45253</v>
      </c>
      <c r="E385" s="1" t="n">
        <v>46221</v>
      </c>
      <c r="F385" t="inlineStr">
        <is>
          <t>VÄRMLANDS LÄN</t>
        </is>
      </c>
      <c r="G385" t="inlineStr">
        <is>
          <t>SÄFFLE</t>
        </is>
      </c>
      <c r="I385" t="n">
        <v>19.9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57008-2025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45977</v>
      </c>
      <c r="E386" s="1" t="n">
        <v>46221</v>
      </c>
      <c r="F386" t="inlineStr">
        <is>
          <t>VÄRMLANDS LÄN</t>
        </is>
      </c>
      <c r="G386" t="inlineStr">
        <is>
          <t>SÄFFLE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34548-2024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45525</v>
      </c>
      <c r="E387" s="1" t="n">
        <v>46221</v>
      </c>
      <c r="F387" t="inlineStr">
        <is>
          <t>VÄRMLANDS LÄN</t>
        </is>
      </c>
      <c r="G387" t="inlineStr">
        <is>
          <t>SÄFFLE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11497-2026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46221</v>
      </c>
      <c r="F388" t="inlineStr">
        <is>
          <t>VÄRMLANDS LÄN</t>
        </is>
      </c>
      <c r="G388" t="inlineStr">
        <is>
          <t>SÄFFLE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11500-2026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46083</v>
      </c>
      <c r="E389" s="1" t="n">
        <v>46221</v>
      </c>
      <c r="F389" t="inlineStr">
        <is>
          <t>VÄRMLANDS LÄN</t>
        </is>
      </c>
      <c r="G389" t="inlineStr">
        <is>
          <t>SÄFFLE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11502-2026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46221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56416-2025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46221</v>
      </c>
      <c r="F391" t="inlineStr">
        <is>
          <t>VÄRMLANDS LÄN</t>
        </is>
      </c>
      <c r="G391" t="inlineStr">
        <is>
          <t>SÄFFLE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56684-2025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45975</v>
      </c>
      <c r="E392" s="1" t="n">
        <v>46221</v>
      </c>
      <c r="F392" t="inlineStr">
        <is>
          <t>VÄRMLANDS LÄN</t>
        </is>
      </c>
      <c r="G392" t="inlineStr">
        <is>
          <t>SÄFFLE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10223-2025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45720</v>
      </c>
      <c r="E393" s="1" t="n">
        <v>46221</v>
      </c>
      <c r="F393" t="inlineStr">
        <is>
          <t>VÄRMLANDS LÄN</t>
        </is>
      </c>
      <c r="G393" t="inlineStr">
        <is>
          <t>SÄFFLE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46221</v>
      </c>
      <c r="F394" t="inlineStr">
        <is>
          <t>VÄRMLANDS LÄN</t>
        </is>
      </c>
      <c r="G394" t="inlineStr">
        <is>
          <t>SÄFFLE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57346-2025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46221</v>
      </c>
      <c r="F395" t="inlineStr">
        <is>
          <t>VÄRMLANDS LÄN</t>
        </is>
      </c>
      <c r="G395" t="inlineStr">
        <is>
          <t>SÄFFLE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44629</v>
      </c>
      <c r="E396" s="1" t="n">
        <v>46221</v>
      </c>
      <c r="F396" t="inlineStr">
        <is>
          <t>VÄRMLANDS LÄN</t>
        </is>
      </c>
      <c r="G396" t="inlineStr">
        <is>
          <t>SÄFFLE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58085-2025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46221</v>
      </c>
      <c r="F397" t="inlineStr">
        <is>
          <t>VÄRMLANDS LÄN</t>
        </is>
      </c>
      <c r="G397" t="inlineStr">
        <is>
          <t>SÄFFLE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45236-2023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46221</v>
      </c>
      <c r="F398" t="inlineStr">
        <is>
          <t>VÄRMLANDS LÄN</t>
        </is>
      </c>
      <c r="G398" t="inlineStr">
        <is>
          <t>SÄFFLE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25561-2023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46221</v>
      </c>
      <c r="F399" t="inlineStr">
        <is>
          <t>VÄRMLANDS LÄN</t>
        </is>
      </c>
      <c r="G399" t="inlineStr">
        <is>
          <t>SÄFFLE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58106-2025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45982</v>
      </c>
      <c r="E400" s="1" t="n">
        <v>46221</v>
      </c>
      <c r="F400" t="inlineStr">
        <is>
          <t>VÄRMLANDS LÄN</t>
        </is>
      </c>
      <c r="G400" t="inlineStr">
        <is>
          <t>SÄFFLE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53533-2024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46221</v>
      </c>
      <c r="F401" t="inlineStr">
        <is>
          <t>VÄRMLANDS LÄN</t>
        </is>
      </c>
      <c r="G401" t="inlineStr">
        <is>
          <t>SÄFFLE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58116-2023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45249</v>
      </c>
      <c r="E402" s="1" t="n">
        <v>46221</v>
      </c>
      <c r="F402" t="inlineStr">
        <is>
          <t>VÄRMLANDS LÄN</t>
        </is>
      </c>
      <c r="G402" t="inlineStr">
        <is>
          <t>SÄFFLE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10597-2025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46221</v>
      </c>
      <c r="F403" t="inlineStr">
        <is>
          <t>VÄRMLANDS LÄN</t>
        </is>
      </c>
      <c r="G403" t="inlineStr">
        <is>
          <t>SÄFFLE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38291-2022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44812</v>
      </c>
      <c r="E404" s="1" t="n">
        <v>46221</v>
      </c>
      <c r="F404" t="inlineStr">
        <is>
          <t>VÄRMLANDS LÄN</t>
        </is>
      </c>
      <c r="G404" t="inlineStr">
        <is>
          <t>SÄFFLE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46221</v>
      </c>
      <c r="F405" t="inlineStr">
        <is>
          <t>VÄRMLANDS LÄN</t>
        </is>
      </c>
      <c r="G405" t="inlineStr">
        <is>
          <t>SÄFFLE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12273-2026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46221</v>
      </c>
      <c r="F406" t="inlineStr">
        <is>
          <t>VÄRMLANDS LÄN</t>
        </is>
      </c>
      <c r="G406" t="inlineStr">
        <is>
          <t>SÄFFLE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12259-2026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46221</v>
      </c>
      <c r="F407" t="inlineStr">
        <is>
          <t>VÄRMLANDS LÄN</t>
        </is>
      </c>
      <c r="G407" t="inlineStr">
        <is>
          <t>SÄFFLE</t>
        </is>
      </c>
      <c r="I407" t="n">
        <v>12.7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46221</v>
      </c>
      <c r="F408" t="inlineStr">
        <is>
          <t>VÄRMLANDS LÄN</t>
        </is>
      </c>
      <c r="G408" t="inlineStr">
        <is>
          <t>SÄFFLE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12187-2026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46086</v>
      </c>
      <c r="E409" s="1" t="n">
        <v>46221</v>
      </c>
      <c r="F409" t="inlineStr">
        <is>
          <t>VÄRMLANDS LÄN</t>
        </is>
      </c>
      <c r="G409" t="inlineStr">
        <is>
          <t>SÄFFLE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59355-2025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46221</v>
      </c>
      <c r="F410" t="inlineStr">
        <is>
          <t>VÄRMLANDS LÄN</t>
        </is>
      </c>
      <c r="G410" t="inlineStr">
        <is>
          <t>SÄFFLE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59158-2025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46221</v>
      </c>
      <c r="F411" t="inlineStr">
        <is>
          <t>VÄRMLANDS LÄN</t>
        </is>
      </c>
      <c r="G411" t="inlineStr">
        <is>
          <t>SÄFFLE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46221</v>
      </c>
      <c r="F412" t="inlineStr">
        <is>
          <t>VÄRMLANDS LÄN</t>
        </is>
      </c>
      <c r="G412" t="inlineStr">
        <is>
          <t>SÄFFLE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46090</v>
      </c>
      <c r="E413" s="1" t="n">
        <v>46221</v>
      </c>
      <c r="F413" t="inlineStr">
        <is>
          <t>VÄRMLANDS LÄN</t>
        </is>
      </c>
      <c r="G413" t="inlineStr">
        <is>
          <t>SÄFFLE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59196-2025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46221</v>
      </c>
      <c r="F414" t="inlineStr">
        <is>
          <t>VÄRMLANDS LÄN</t>
        </is>
      </c>
      <c r="G414" t="inlineStr">
        <is>
          <t>SÄFFLE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59291-2025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46221</v>
      </c>
      <c r="F415" t="inlineStr">
        <is>
          <t>VÄRMLANDS LÄN</t>
        </is>
      </c>
      <c r="G415" t="inlineStr">
        <is>
          <t>SÄFFLE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59192-2025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46221</v>
      </c>
      <c r="F416" t="inlineStr">
        <is>
          <t>VÄRMLANDS LÄN</t>
        </is>
      </c>
      <c r="G416" t="inlineStr">
        <is>
          <t>SÄFFLE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59194-2025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46221</v>
      </c>
      <c r="F417" t="inlineStr">
        <is>
          <t>VÄRMLANDS LÄN</t>
        </is>
      </c>
      <c r="G417" t="inlineStr">
        <is>
          <t>SÄFFLE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12461-2026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46221</v>
      </c>
      <c r="F418" t="inlineStr">
        <is>
          <t>VÄRMLANDS LÄN</t>
        </is>
      </c>
      <c r="G418" t="inlineStr">
        <is>
          <t>SÄFFLE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12473-2026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46221</v>
      </c>
      <c r="F419" t="inlineStr">
        <is>
          <t>VÄRMLANDS LÄN</t>
        </is>
      </c>
      <c r="G419" t="inlineStr">
        <is>
          <t>SÄFFLE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46221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60050-2025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46221</v>
      </c>
      <c r="F421" t="inlineStr">
        <is>
          <t>VÄRMLANDS LÄN</t>
        </is>
      </c>
      <c r="G421" t="inlineStr">
        <is>
          <t>SÄFFLE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59446-2025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46221</v>
      </c>
      <c r="F422" t="inlineStr">
        <is>
          <t>VÄRMLANDS LÄN</t>
        </is>
      </c>
      <c r="G422" t="inlineStr">
        <is>
          <t>SÄFFLE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59376-2025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46221</v>
      </c>
      <c r="F423" t="inlineStr">
        <is>
          <t>VÄRMLANDS LÄN</t>
        </is>
      </c>
      <c r="G423" t="inlineStr">
        <is>
          <t>SÄFFLE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13127-2026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46221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59381-2025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46221</v>
      </c>
      <c r="F425" t="inlineStr">
        <is>
          <t>VÄRMLANDS LÄN</t>
        </is>
      </c>
      <c r="G425" t="inlineStr">
        <is>
          <t>SÄFFLE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54429-2023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45226</v>
      </c>
      <c r="E426" s="1" t="n">
        <v>46221</v>
      </c>
      <c r="F426" t="inlineStr">
        <is>
          <t>VÄRMLANDS LÄN</t>
        </is>
      </c>
      <c r="G426" t="inlineStr">
        <is>
          <t>SÄFFLE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46221</v>
      </c>
      <c r="F427" t="inlineStr">
        <is>
          <t>VÄRMLANDS LÄN</t>
        </is>
      </c>
      <c r="G427" t="inlineStr">
        <is>
          <t>SÄFFLE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13051-2026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46221</v>
      </c>
      <c r="F428" t="inlineStr">
        <is>
          <t>VÄRMLANDS LÄN</t>
        </is>
      </c>
      <c r="G428" t="inlineStr">
        <is>
          <t>SÄFFLE</t>
        </is>
      </c>
      <c r="I428" t="n">
        <v>11.2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60022-2025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46221</v>
      </c>
      <c r="F429" t="inlineStr">
        <is>
          <t>VÄRMLANDS LÄN</t>
        </is>
      </c>
      <c r="G429" t="inlineStr">
        <is>
          <t>SÄFFLE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59944-2025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46221</v>
      </c>
      <c r="F430" t="inlineStr">
        <is>
          <t>VÄRMLANDS LÄN</t>
        </is>
      </c>
      <c r="G430" t="inlineStr">
        <is>
          <t>SÄFFLE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38534-2022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44813</v>
      </c>
      <c r="E431" s="1" t="n">
        <v>46221</v>
      </c>
      <c r="F431" t="inlineStr">
        <is>
          <t>VÄRMLANDS LÄN</t>
        </is>
      </c>
      <c r="G431" t="inlineStr">
        <is>
          <t>SÄFFLE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44936</v>
      </c>
      <c r="E432" s="1" t="n">
        <v>46221</v>
      </c>
      <c r="F432" t="inlineStr">
        <is>
          <t>VÄRMLANDS LÄN</t>
        </is>
      </c>
      <c r="G432" t="inlineStr">
        <is>
          <t>SÄFFLE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13359-2026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46221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60437-2025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46221</v>
      </c>
      <c r="F434" t="inlineStr">
        <is>
          <t>VÄRMLANDS LÄN</t>
        </is>
      </c>
      <c r="G434" t="inlineStr">
        <is>
          <t>SÄFFLE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60513-2025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46221</v>
      </c>
      <c r="F435" t="inlineStr">
        <is>
          <t>VÄRMLANDS LÄN</t>
        </is>
      </c>
      <c r="G435" t="inlineStr">
        <is>
          <t>SÄFFLE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53303-2023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45229</v>
      </c>
      <c r="E436" s="1" t="n">
        <v>46221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54126-2022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44881</v>
      </c>
      <c r="E437" s="1" t="n">
        <v>46221</v>
      </c>
      <c r="F437" t="inlineStr">
        <is>
          <t>VÄRMLANDS LÄN</t>
        </is>
      </c>
      <c r="G437" t="inlineStr">
        <is>
          <t>SÄFFLE</t>
        </is>
      </c>
      <c r="H437" t="inlineStr">
        <is>
          <t>Kyrkan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19869-2025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46221</v>
      </c>
      <c r="F438" t="inlineStr">
        <is>
          <t>VÄRMLANDS LÄN</t>
        </is>
      </c>
      <c r="G438" t="inlineStr">
        <is>
          <t>SÄFFLE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53788-2022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44880</v>
      </c>
      <c r="E439" s="1" t="n">
        <v>46221</v>
      </c>
      <c r="F439" t="inlineStr">
        <is>
          <t>VÄRMLANDS LÄN</t>
        </is>
      </c>
      <c r="G439" t="inlineStr">
        <is>
          <t>SÄFFLE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53378-2024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45609</v>
      </c>
      <c r="E440" s="1" t="n">
        <v>46221</v>
      </c>
      <c r="F440" t="inlineStr">
        <is>
          <t>VÄRMLANDS LÄN</t>
        </is>
      </c>
      <c r="G440" t="inlineStr">
        <is>
          <t>SÄFFLE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25142-2023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45078</v>
      </c>
      <c r="E441" s="1" t="n">
        <v>46221</v>
      </c>
      <c r="F441" t="inlineStr">
        <is>
          <t>VÄRMLANDS LÄN</t>
        </is>
      </c>
      <c r="G441" t="inlineStr">
        <is>
          <t>SÄFFLE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15501-2025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46221</v>
      </c>
      <c r="F442" t="inlineStr">
        <is>
          <t>VÄRMLANDS LÄN</t>
        </is>
      </c>
      <c r="G442" t="inlineStr">
        <is>
          <t>SÄFFLE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25659-2023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45089</v>
      </c>
      <c r="E443" s="1" t="n">
        <v>46221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45988</v>
      </c>
      <c r="E444" s="1" t="n">
        <v>46221</v>
      </c>
      <c r="F444" t="inlineStr">
        <is>
          <t>VÄRMLANDS LÄN</t>
        </is>
      </c>
      <c r="G444" t="inlineStr">
        <is>
          <t>SÄFFLE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46221</v>
      </c>
      <c r="F445" t="inlineStr">
        <is>
          <t>VÄRMLANDS LÄN</t>
        </is>
      </c>
      <c r="G445" t="inlineStr">
        <is>
          <t>SÄFFLE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62119-2025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46006</v>
      </c>
      <c r="E446" s="1" t="n">
        <v>46221</v>
      </c>
      <c r="F446" t="inlineStr">
        <is>
          <t>VÄRMLANDS LÄN</t>
        </is>
      </c>
      <c r="G446" t="inlineStr">
        <is>
          <t>SÄFFLE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59322-2025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46221</v>
      </c>
      <c r="F447" t="inlineStr">
        <is>
          <t>VÄRMLANDS LÄN</t>
        </is>
      </c>
      <c r="G447" t="inlineStr">
        <is>
          <t>SÄFFLE</t>
        </is>
      </c>
      <c r="I447" t="n">
        <v>11.1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59471-2025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46221</v>
      </c>
      <c r="F448" t="inlineStr">
        <is>
          <t>VÄRMLANDS LÄN</t>
        </is>
      </c>
      <c r="G448" t="inlineStr">
        <is>
          <t>SÄFFLE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58070-2021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44487</v>
      </c>
      <c r="E449" s="1" t="n">
        <v>46221</v>
      </c>
      <c r="F449" t="inlineStr">
        <is>
          <t>VÄRMLANDS LÄN</t>
        </is>
      </c>
      <c r="G449" t="inlineStr">
        <is>
          <t>SÄFFLE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14197-2025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46221</v>
      </c>
      <c r="F450" t="inlineStr">
        <is>
          <t>VÄRMLANDS LÄN</t>
        </is>
      </c>
      <c r="G450" t="inlineStr">
        <is>
          <t>SÄFFLE</t>
        </is>
      </c>
      <c r="H450" t="inlineStr">
        <is>
          <t>Bergvik skog väst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14715-2026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46101</v>
      </c>
      <c r="E451" s="1" t="n">
        <v>46221</v>
      </c>
      <c r="F451" t="inlineStr">
        <is>
          <t>VÄRMLANDS LÄN</t>
        </is>
      </c>
      <c r="G451" t="inlineStr">
        <is>
          <t>SÄFFLE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46221</v>
      </c>
      <c r="F452" t="inlineStr">
        <is>
          <t>VÄRMLANDS LÄN</t>
        </is>
      </c>
      <c r="G452" t="inlineStr">
        <is>
          <t>SÄFFLE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63781-2023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45278</v>
      </c>
      <c r="E453" s="1" t="n">
        <v>46221</v>
      </c>
      <c r="F453" t="inlineStr">
        <is>
          <t>VÄRMLANDS LÄN</t>
        </is>
      </c>
      <c r="G453" t="inlineStr">
        <is>
          <t>SÄFFLE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39148-2024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45548</v>
      </c>
      <c r="E454" s="1" t="n">
        <v>46221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9015-2024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45356</v>
      </c>
      <c r="E455" s="1" t="n">
        <v>46221</v>
      </c>
      <c r="F455" t="inlineStr">
        <is>
          <t>VÄRMLANDS LÄN</t>
        </is>
      </c>
      <c r="G455" t="inlineStr">
        <is>
          <t>SÄFFLE</t>
        </is>
      </c>
      <c r="H455" t="inlineStr">
        <is>
          <t>Bergvik skog väst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28136-2023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46221</v>
      </c>
      <c r="F456" t="inlineStr">
        <is>
          <t>VÄRMLANDS LÄN</t>
        </is>
      </c>
      <c r="G456" t="inlineStr">
        <is>
          <t>SÄFFLE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30249-2022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44758</v>
      </c>
      <c r="E457" s="1" t="n">
        <v>46221</v>
      </c>
      <c r="F457" t="inlineStr">
        <is>
          <t>VÄRMLANDS LÄN</t>
        </is>
      </c>
      <c r="G457" t="inlineStr">
        <is>
          <t>SÄFFLE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63171-2025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46221</v>
      </c>
      <c r="F458" t="inlineStr">
        <is>
          <t>VÄRMLANDS LÄN</t>
        </is>
      </c>
      <c r="G458" t="inlineStr">
        <is>
          <t>SÄFFLE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45303</v>
      </c>
      <c r="E459" s="1" t="n">
        <v>46221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10649-2024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45368</v>
      </c>
      <c r="E460" s="1" t="n">
        <v>46221</v>
      </c>
      <c r="F460" t="inlineStr">
        <is>
          <t>VÄRMLANDS LÄN</t>
        </is>
      </c>
      <c r="G460" t="inlineStr">
        <is>
          <t>SÄFFLE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21492-2023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45063</v>
      </c>
      <c r="E461" s="1" t="n">
        <v>46221</v>
      </c>
      <c r="F461" t="inlineStr">
        <is>
          <t>VÄRMLANDS LÄN</t>
        </is>
      </c>
      <c r="G461" t="inlineStr">
        <is>
          <t>SÄFFLE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64061-2021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44509</v>
      </c>
      <c r="E462" s="1" t="n">
        <v>46221</v>
      </c>
      <c r="F462" t="inlineStr">
        <is>
          <t>VÄRMLANDS LÄN</t>
        </is>
      </c>
      <c r="G462" t="inlineStr">
        <is>
          <t>SÄFFLE</t>
        </is>
      </c>
      <c r="H462" t="inlineStr">
        <is>
          <t>Bergvik skog väst AB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15234-2026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46221</v>
      </c>
      <c r="F463" t="inlineStr">
        <is>
          <t>VÄRMLANDS LÄN</t>
        </is>
      </c>
      <c r="G463" t="inlineStr">
        <is>
          <t>SÄFFLE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14994-2026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46104</v>
      </c>
      <c r="E464" s="1" t="n">
        <v>46221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8746-2024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45356</v>
      </c>
      <c r="E465" s="1" t="n">
        <v>46221</v>
      </c>
      <c r="F465" t="inlineStr">
        <is>
          <t>VÄRMLANDS LÄN</t>
        </is>
      </c>
      <c r="G465" t="inlineStr">
        <is>
          <t>SÄFFLE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46221</v>
      </c>
      <c r="F466" t="inlineStr">
        <is>
          <t>VÄRMLANDS LÄN</t>
        </is>
      </c>
      <c r="G466" t="inlineStr">
        <is>
          <t>SÄFFLE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45273</v>
      </c>
      <c r="E467" s="1" t="n">
        <v>46221</v>
      </c>
      <c r="F467" t="inlineStr">
        <is>
          <t>VÄRMLANDS LÄN</t>
        </is>
      </c>
      <c r="G467" t="inlineStr">
        <is>
          <t>SÄFFLE</t>
        </is>
      </c>
      <c r="I467" t="n">
        <v>11.2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14893-2024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45398</v>
      </c>
      <c r="E468" s="1" t="n">
        <v>46221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52099-2021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44463</v>
      </c>
      <c r="E469" s="1" t="n">
        <v>46221</v>
      </c>
      <c r="F469" t="inlineStr">
        <is>
          <t>VÄRMLANDS LÄN</t>
        </is>
      </c>
      <c r="G469" t="inlineStr">
        <is>
          <t>SÄFFLE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46221</v>
      </c>
      <c r="F470" t="inlineStr">
        <is>
          <t>VÄRMLANDS LÄN</t>
        </is>
      </c>
      <c r="G470" t="inlineStr">
        <is>
          <t>SÄFFLE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45167-2023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45191</v>
      </c>
      <c r="E471" s="1" t="n">
        <v>46221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9152-2023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44976</v>
      </c>
      <c r="E472" s="1" t="n">
        <v>46221</v>
      </c>
      <c r="F472" t="inlineStr">
        <is>
          <t>VÄRMLANDS LÄN</t>
        </is>
      </c>
      <c r="G472" t="inlineStr">
        <is>
          <t>SÄFFLE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46221</v>
      </c>
      <c r="F473" t="inlineStr">
        <is>
          <t>VÄRMLANDS LÄN</t>
        </is>
      </c>
      <c r="G473" t="inlineStr">
        <is>
          <t>SÄFFLE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46221</v>
      </c>
      <c r="F474" t="inlineStr">
        <is>
          <t>VÄRMLANDS LÄN</t>
        </is>
      </c>
      <c r="G474" t="inlineStr">
        <is>
          <t>SÄFFLE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46221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46221</v>
      </c>
      <c r="F476" t="inlineStr">
        <is>
          <t>VÄRMLANDS LÄN</t>
        </is>
      </c>
      <c r="G476" t="inlineStr">
        <is>
          <t>SÄFFLE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11782-2024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45374</v>
      </c>
      <c r="E477" s="1" t="n">
        <v>46221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11783-2024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45374</v>
      </c>
      <c r="E478" s="1" t="n">
        <v>46221</v>
      </c>
      <c r="F478" t="inlineStr">
        <is>
          <t>VÄRMLANDS LÄN</t>
        </is>
      </c>
      <c r="G478" t="inlineStr">
        <is>
          <t>SÄFFLE</t>
        </is>
      </c>
      <c r="H478" t="inlineStr">
        <is>
          <t>Kommuner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46221</v>
      </c>
      <c r="F479" t="inlineStr">
        <is>
          <t>VÄRMLANDS LÄN</t>
        </is>
      </c>
      <c r="G479" t="inlineStr">
        <is>
          <t>SÄFFLE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46221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46221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18419-2024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45425</v>
      </c>
      <c r="E482" s="1" t="n">
        <v>46221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46221</v>
      </c>
      <c r="F483" t="inlineStr">
        <is>
          <t>VÄRMLANDS LÄN</t>
        </is>
      </c>
      <c r="G483" t="inlineStr">
        <is>
          <t>SÄFFLE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16337-2026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46221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62000-2023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46221</v>
      </c>
      <c r="F485" t="inlineStr">
        <is>
          <t>VÄRMLANDS LÄN</t>
        </is>
      </c>
      <c r="G485" t="inlineStr">
        <is>
          <t>SÄFFLE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16066-2026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46221</v>
      </c>
      <c r="F486" t="inlineStr">
        <is>
          <t>VÄRMLANDS LÄN</t>
        </is>
      </c>
      <c r="G486" t="inlineStr">
        <is>
          <t>SÄFFLE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11626-2023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44994</v>
      </c>
      <c r="E487" s="1" t="n">
        <v>46221</v>
      </c>
      <c r="F487" t="inlineStr">
        <is>
          <t>VÄRMLANDS LÄN</t>
        </is>
      </c>
      <c r="G487" t="inlineStr">
        <is>
          <t>SÄFFLE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51266-2024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46221</v>
      </c>
      <c r="F488" t="inlineStr">
        <is>
          <t>VÄRMLANDS LÄN</t>
        </is>
      </c>
      <c r="G488" t="inlineStr">
        <is>
          <t>SÄFFLE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48878-2023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46221</v>
      </c>
      <c r="F489" t="inlineStr">
        <is>
          <t>VÄRMLANDS LÄN</t>
        </is>
      </c>
      <c r="G489" t="inlineStr">
        <is>
          <t>SÄFFLE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40754-2024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46221</v>
      </c>
      <c r="F490" t="inlineStr">
        <is>
          <t>VÄRMLANDS LÄN</t>
        </is>
      </c>
      <c r="G490" t="inlineStr">
        <is>
          <t>SÄFFLE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7602-2024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45348</v>
      </c>
      <c r="E491" s="1" t="n">
        <v>46221</v>
      </c>
      <c r="F491" t="inlineStr">
        <is>
          <t>VÄRMLANDS LÄN</t>
        </is>
      </c>
      <c r="G491" t="inlineStr">
        <is>
          <t>SÄFFLE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17332-2026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46221</v>
      </c>
      <c r="F492" t="inlineStr">
        <is>
          <t>VÄRMLANDS LÄN</t>
        </is>
      </c>
      <c r="G492" t="inlineStr">
        <is>
          <t>SÄFFLE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8589-2024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45355</v>
      </c>
      <c r="E493" s="1" t="n">
        <v>46221</v>
      </c>
      <c r="F493" t="inlineStr">
        <is>
          <t>VÄRMLANDS LÄN</t>
        </is>
      </c>
      <c r="G493" t="inlineStr">
        <is>
          <t>SÄFFLE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17258-2026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46119</v>
      </c>
      <c r="E494" s="1" t="n">
        <v>46221</v>
      </c>
      <c r="F494" t="inlineStr">
        <is>
          <t>VÄRMLANDS LÄN</t>
        </is>
      </c>
      <c r="G494" t="inlineStr">
        <is>
          <t>SÄFFLE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52025-2024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46221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45314</v>
      </c>
      <c r="E496" s="1" t="n">
        <v>46221</v>
      </c>
      <c r="F496" t="inlineStr">
        <is>
          <t>VÄRMLANDS LÄN</t>
        </is>
      </c>
      <c r="G496" t="inlineStr">
        <is>
          <t>SÄFFLE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63745-2021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44509</v>
      </c>
      <c r="E497" s="1" t="n">
        <v>46221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63858-2021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46221</v>
      </c>
      <c r="F498" t="inlineStr">
        <is>
          <t>VÄRMLANDS LÄN</t>
        </is>
      </c>
      <c r="G498" t="inlineStr">
        <is>
          <t>SÄFFLE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17431-2026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46221</v>
      </c>
      <c r="F499" t="inlineStr">
        <is>
          <t>VÄRMLANDS LÄN</t>
        </is>
      </c>
      <c r="G499" t="inlineStr">
        <is>
          <t>SÄFFLE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35116-2024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45527</v>
      </c>
      <c r="E500" s="1" t="n">
        <v>46221</v>
      </c>
      <c r="F500" t="inlineStr">
        <is>
          <t>VÄRMLANDS LÄN</t>
        </is>
      </c>
      <c r="G500" t="inlineStr">
        <is>
          <t>SÄFFLE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17880-2026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46221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11910-2025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46221</v>
      </c>
      <c r="F502" t="inlineStr">
        <is>
          <t>VÄRMLANDS LÄN</t>
        </is>
      </c>
      <c r="G502" t="inlineStr">
        <is>
          <t>SÄFFLE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65023-2023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46221</v>
      </c>
      <c r="F503" t="inlineStr">
        <is>
          <t>VÄRMLANDS LÄN</t>
        </is>
      </c>
      <c r="G503" t="inlineStr">
        <is>
          <t>SÄFFLE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46526-2024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45582</v>
      </c>
      <c r="E504" s="1" t="n">
        <v>46221</v>
      </c>
      <c r="F504" t="inlineStr">
        <is>
          <t>VÄRMLANDS LÄN</t>
        </is>
      </c>
      <c r="G504" t="inlineStr">
        <is>
          <t>SÄFFLE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46221</v>
      </c>
      <c r="F505" t="inlineStr">
        <is>
          <t>VÄRMLANDS LÄN</t>
        </is>
      </c>
      <c r="G505" t="inlineStr">
        <is>
          <t>SÄFFLE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11020-2025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45723</v>
      </c>
      <c r="E506" s="1" t="n">
        <v>46221</v>
      </c>
      <c r="F506" t="inlineStr">
        <is>
          <t>VÄRMLANDS LÄN</t>
        </is>
      </c>
      <c r="G506" t="inlineStr">
        <is>
          <t>SÄFFLE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45393</v>
      </c>
      <c r="E507" s="1" t="n">
        <v>46221</v>
      </c>
      <c r="F507" t="inlineStr">
        <is>
          <t>VÄRMLANDS LÄN</t>
        </is>
      </c>
      <c r="G507" t="inlineStr">
        <is>
          <t>SÄFFLE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10087-2025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45719</v>
      </c>
      <c r="E508" s="1" t="n">
        <v>46221</v>
      </c>
      <c r="F508" t="inlineStr">
        <is>
          <t>VÄRMLANDS LÄN</t>
        </is>
      </c>
      <c r="G508" t="inlineStr">
        <is>
          <t>SÄFFLE</t>
        </is>
      </c>
      <c r="I508" t="n">
        <v>11.9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45233-2023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46221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45460</v>
      </c>
      <c r="E510" s="1" t="n">
        <v>46221</v>
      </c>
      <c r="F510" t="inlineStr">
        <is>
          <t>VÄRMLANDS LÄN</t>
        </is>
      </c>
      <c r="G510" t="inlineStr">
        <is>
          <t>SÄFFLE</t>
        </is>
      </c>
      <c r="I510" t="n">
        <v>49.7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19578-2026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46221</v>
      </c>
      <c r="F511" t="inlineStr">
        <is>
          <t>VÄRMLANDS LÄN</t>
        </is>
      </c>
      <c r="G511" t="inlineStr">
        <is>
          <t>SÄFFLE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35353-2023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46221</v>
      </c>
      <c r="F512" t="inlineStr">
        <is>
          <t>VÄRMLANDS LÄN</t>
        </is>
      </c>
      <c r="G512" t="inlineStr">
        <is>
          <t>SÄFFLE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19547-2026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46221</v>
      </c>
      <c r="F513" t="inlineStr">
        <is>
          <t>VÄRMLANDS LÄN</t>
        </is>
      </c>
      <c r="G513" t="inlineStr">
        <is>
          <t>SÄFFLE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19556-2026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46221</v>
      </c>
      <c r="F514" t="inlineStr">
        <is>
          <t>VÄRMLANDS LÄN</t>
        </is>
      </c>
      <c r="G514" t="inlineStr">
        <is>
          <t>SÄFFLE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36208-2024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46221</v>
      </c>
      <c r="F515" t="inlineStr">
        <is>
          <t>VÄRMLANDS LÄN</t>
        </is>
      </c>
      <c r="G515" t="inlineStr">
        <is>
          <t>SÄFFLE</t>
        </is>
      </c>
      <c r="H515" t="inlineStr">
        <is>
          <t>Kyrkan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17808-2025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45758</v>
      </c>
      <c r="E516" s="1" t="n">
        <v>46221</v>
      </c>
      <c r="F516" t="inlineStr">
        <is>
          <t>VÄRMLANDS LÄN</t>
        </is>
      </c>
      <c r="G516" t="inlineStr">
        <is>
          <t>SÄFFLE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46221</v>
      </c>
      <c r="F517" t="inlineStr">
        <is>
          <t>VÄRMLANDS LÄN</t>
        </is>
      </c>
      <c r="G517" t="inlineStr">
        <is>
          <t>SÄFFLE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45667</v>
      </c>
      <c r="E518" s="1" t="n">
        <v>46221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46221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47764-2025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46221</v>
      </c>
      <c r="F520" t="inlineStr">
        <is>
          <t>VÄRMLANDS LÄN</t>
        </is>
      </c>
      <c r="G520" t="inlineStr">
        <is>
          <t>SÄFFLE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6966-2022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44603</v>
      </c>
      <c r="E521" s="1" t="n">
        <v>46221</v>
      </c>
      <c r="F521" t="inlineStr">
        <is>
          <t>VÄRMLANDS LÄN</t>
        </is>
      </c>
      <c r="G521" t="inlineStr">
        <is>
          <t>SÄFFLE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30595-2022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44762</v>
      </c>
      <c r="E522" s="1" t="n">
        <v>46221</v>
      </c>
      <c r="F522" t="inlineStr">
        <is>
          <t>VÄRMLANDS LÄN</t>
        </is>
      </c>
      <c r="G522" t="inlineStr">
        <is>
          <t>SÄFFLE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73355-2021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44550</v>
      </c>
      <c r="E523" s="1" t="n">
        <v>46221</v>
      </c>
      <c r="F523" t="inlineStr">
        <is>
          <t>VÄRMLANDS LÄN</t>
        </is>
      </c>
      <c r="G523" t="inlineStr">
        <is>
          <t>SÄFFLE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46221</v>
      </c>
      <c r="F524" t="inlineStr">
        <is>
          <t>VÄRMLANDS LÄN</t>
        </is>
      </c>
      <c r="G524" t="inlineStr">
        <is>
          <t>SÄFFLE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6697-2026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46221</v>
      </c>
      <c r="F525" t="inlineStr">
        <is>
          <t>VÄRMLANDS LÄN</t>
        </is>
      </c>
      <c r="G525" t="inlineStr">
        <is>
          <t>SÄFFLE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37000-2025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45874</v>
      </c>
      <c r="E526" s="1" t="n">
        <v>46221</v>
      </c>
      <c r="F526" t="inlineStr">
        <is>
          <t>VÄRMLANDS LÄN</t>
        </is>
      </c>
      <c r="G526" t="inlineStr">
        <is>
          <t>SÄFFLE</t>
        </is>
      </c>
      <c r="I526" t="n">
        <v>15.2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21075-2024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45439</v>
      </c>
      <c r="E527" s="1" t="n">
        <v>46221</v>
      </c>
      <c r="F527" t="inlineStr">
        <is>
          <t>VÄRMLANDS LÄN</t>
        </is>
      </c>
      <c r="G527" t="inlineStr">
        <is>
          <t>SÄFFLE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19865-2025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45771</v>
      </c>
      <c r="E528" s="1" t="n">
        <v>46221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28988-2024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46221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45097-2024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45575</v>
      </c>
      <c r="E530" s="1" t="n">
        <v>46221</v>
      </c>
      <c r="F530" t="inlineStr">
        <is>
          <t>VÄRMLANDS LÄN</t>
        </is>
      </c>
      <c r="G530" t="inlineStr">
        <is>
          <t>SÄFFLE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40021-2025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46221</v>
      </c>
      <c r="F531" t="inlineStr">
        <is>
          <t>VÄRMLANDS LÄN</t>
        </is>
      </c>
      <c r="G531" t="inlineStr">
        <is>
          <t>SÄFFLE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1285-2022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44572</v>
      </c>
      <c r="E532" s="1" t="n">
        <v>46221</v>
      </c>
      <c r="F532" t="inlineStr">
        <is>
          <t>VÄRMLANDS LÄN</t>
        </is>
      </c>
      <c r="G532" t="inlineStr">
        <is>
          <t>SÄFFLE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54367-2022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44879</v>
      </c>
      <c r="E533" s="1" t="n">
        <v>46221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67174-2021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44523</v>
      </c>
      <c r="E534" s="1" t="n">
        <v>46221</v>
      </c>
      <c r="F534" t="inlineStr">
        <is>
          <t>VÄRMLANDS LÄN</t>
        </is>
      </c>
      <c r="G534" t="inlineStr">
        <is>
          <t>SÄFFLE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56552-2024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45625</v>
      </c>
      <c r="E535" s="1" t="n">
        <v>46221</v>
      </c>
      <c r="F535" t="inlineStr">
        <is>
          <t>VÄRMLANDS LÄN</t>
        </is>
      </c>
      <c r="G535" t="inlineStr">
        <is>
          <t>SÄFFLE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11965-2025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46221</v>
      </c>
      <c r="F536" t="inlineStr">
        <is>
          <t>VÄRMLANDS LÄN</t>
        </is>
      </c>
      <c r="G536" t="inlineStr">
        <is>
          <t>SÄFFLE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31624-2024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45506</v>
      </c>
      <c r="E537" s="1" t="n">
        <v>46221</v>
      </c>
      <c r="F537" t="inlineStr">
        <is>
          <t>VÄRMLANDS LÄN</t>
        </is>
      </c>
      <c r="G537" t="inlineStr">
        <is>
          <t>SÄFFLE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2862-2022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44581</v>
      </c>
      <c r="E538" s="1" t="n">
        <v>46221</v>
      </c>
      <c r="F538" t="inlineStr">
        <is>
          <t>VÄRMLANDS LÄN</t>
        </is>
      </c>
      <c r="G538" t="inlineStr">
        <is>
          <t>SÄFFLE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46221</v>
      </c>
      <c r="F539" t="inlineStr">
        <is>
          <t>VÄRMLANDS LÄN</t>
        </is>
      </c>
      <c r="G539" t="inlineStr">
        <is>
          <t>SÄFFLE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7504-2022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44607</v>
      </c>
      <c r="E540" s="1" t="n">
        <v>46221</v>
      </c>
      <c r="F540" t="inlineStr">
        <is>
          <t>VÄRMLANDS LÄN</t>
        </is>
      </c>
      <c r="G540" t="inlineStr">
        <is>
          <t>SÄFFLE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26534-2025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45807</v>
      </c>
      <c r="E541" s="1" t="n">
        <v>46221</v>
      </c>
      <c r="F541" t="inlineStr">
        <is>
          <t>VÄRMLANDS LÄN</t>
        </is>
      </c>
      <c r="G541" t="inlineStr">
        <is>
          <t>SÄFFLE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26537-2025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46221</v>
      </c>
      <c r="F542" t="inlineStr">
        <is>
          <t>VÄRMLANDS LÄN</t>
        </is>
      </c>
      <c r="G542" t="inlineStr">
        <is>
          <t>SÄFFLE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35533-2023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46221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8621-2025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45711</v>
      </c>
      <c r="E544" s="1" t="n">
        <v>46221</v>
      </c>
      <c r="F544" t="inlineStr">
        <is>
          <t>VÄRMLANDS LÄN</t>
        </is>
      </c>
      <c r="G544" t="inlineStr">
        <is>
          <t>SÄFFLE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46899-2021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44446</v>
      </c>
      <c r="E545" s="1" t="n">
        <v>46221</v>
      </c>
      <c r="F545" t="inlineStr">
        <is>
          <t>VÄRMLANDS LÄN</t>
        </is>
      </c>
      <c r="G545" t="inlineStr">
        <is>
          <t>SÄFFLE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13438-2024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45387</v>
      </c>
      <c r="E546" s="1" t="n">
        <v>46221</v>
      </c>
      <c r="F546" t="inlineStr">
        <is>
          <t>VÄRMLANDS LÄN</t>
        </is>
      </c>
      <c r="G546" t="inlineStr">
        <is>
          <t>SÄFFLE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3950-2022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44587</v>
      </c>
      <c r="E547" s="1" t="n">
        <v>46221</v>
      </c>
      <c r="F547" t="inlineStr">
        <is>
          <t>VÄRMLANDS LÄN</t>
        </is>
      </c>
      <c r="G547" t="inlineStr">
        <is>
          <t>SÄFFLE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7410-2022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44606</v>
      </c>
      <c r="E548" s="1" t="n">
        <v>46221</v>
      </c>
      <c r="F548" t="inlineStr">
        <is>
          <t>VÄRMLANDS LÄN</t>
        </is>
      </c>
      <c r="G548" t="inlineStr">
        <is>
          <t>SÄFFLE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48079-2025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45932</v>
      </c>
      <c r="E549" s="1" t="n">
        <v>46221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12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60198-2022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44910</v>
      </c>
      <c r="E550" s="1" t="n">
        <v>46221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45820</v>
      </c>
      <c r="E551" s="1" t="n">
        <v>46221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7797-2025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46221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46221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46221</v>
      </c>
      <c r="F554" t="inlineStr">
        <is>
          <t>VÄRMLANDS LÄN</t>
        </is>
      </c>
      <c r="G554" t="inlineStr">
        <is>
          <t>SÄFFLE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21273-2025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45779</v>
      </c>
      <c r="E555" s="1" t="n">
        <v>46221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15279-2025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45744</v>
      </c>
      <c r="E556" s="1" t="n">
        <v>46221</v>
      </c>
      <c r="F556" t="inlineStr">
        <is>
          <t>VÄRMLANDS LÄN</t>
        </is>
      </c>
      <c r="G556" t="inlineStr">
        <is>
          <t>SÄFFLE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45966</v>
      </c>
      <c r="E557" s="1" t="n">
        <v>46221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55045-2024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45621</v>
      </c>
      <c r="E558" s="1" t="n">
        <v>46221</v>
      </c>
      <c r="F558" t="inlineStr">
        <is>
          <t>VÄRMLANDS LÄN</t>
        </is>
      </c>
      <c r="G558" t="inlineStr">
        <is>
          <t>SÄFFLE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45313</v>
      </c>
      <c r="E559" s="1" t="n">
        <v>46221</v>
      </c>
      <c r="F559" t="inlineStr">
        <is>
          <t>VÄRMLANDS LÄN</t>
        </is>
      </c>
      <c r="G559" t="inlineStr">
        <is>
          <t>SÄFFLE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31985-2023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46221</v>
      </c>
      <c r="F560" t="inlineStr">
        <is>
          <t>VÄRMLANDS LÄN</t>
        </is>
      </c>
      <c r="G560" t="inlineStr">
        <is>
          <t>SÄFFLE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45348-2025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46221</v>
      </c>
      <c r="F561" t="inlineStr">
        <is>
          <t>VÄRMLANDS LÄN</t>
        </is>
      </c>
      <c r="G561" t="inlineStr">
        <is>
          <t>SÄFFLE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37710-2025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46221</v>
      </c>
      <c r="F562" t="inlineStr">
        <is>
          <t>VÄRMLANDS LÄN</t>
        </is>
      </c>
      <c r="G562" t="inlineStr">
        <is>
          <t>SÄFFLE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4249-2025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46221</v>
      </c>
      <c r="F563" t="inlineStr">
        <is>
          <t>VÄRMLANDS LÄN</t>
        </is>
      </c>
      <c r="G563" t="inlineStr">
        <is>
          <t>SÄFFLE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13274-2025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46221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36840-2025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45874</v>
      </c>
      <c r="E565" s="1" t="n">
        <v>46221</v>
      </c>
      <c r="F565" t="inlineStr">
        <is>
          <t>VÄRMLANDS LÄN</t>
        </is>
      </c>
      <c r="G565" t="inlineStr">
        <is>
          <t>SÄFFLE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11944-2022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44635</v>
      </c>
      <c r="E566" s="1" t="n">
        <v>46221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43862-2025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45912</v>
      </c>
      <c r="E567" s="1" t="n">
        <v>46221</v>
      </c>
      <c r="F567" t="inlineStr">
        <is>
          <t>VÄRMLANDS LÄN</t>
        </is>
      </c>
      <c r="G567" t="inlineStr">
        <is>
          <t>SÄFFLE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46221</v>
      </c>
      <c r="F568" t="inlineStr">
        <is>
          <t>VÄRMLANDS LÄN</t>
        </is>
      </c>
      <c r="G568" t="inlineStr">
        <is>
          <t>SÄFFLE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45057</v>
      </c>
      <c r="E569" s="1" t="n">
        <v>46221</v>
      </c>
      <c r="F569" t="inlineStr">
        <is>
          <t>VÄRMLANDS LÄN</t>
        </is>
      </c>
      <c r="G569" t="inlineStr">
        <is>
          <t>SÄFFLE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20318-2026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46139</v>
      </c>
      <c r="E570" s="1" t="n">
        <v>46221</v>
      </c>
      <c r="F570" t="inlineStr">
        <is>
          <t>VÄRMLANDS LÄN</t>
        </is>
      </c>
      <c r="G570" t="inlineStr">
        <is>
          <t>SÄFFLE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15691-2022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44663</v>
      </c>
      <c r="E571" s="1" t="n">
        <v>46221</v>
      </c>
      <c r="F571" t="inlineStr">
        <is>
          <t>VÄRMLANDS LÄN</t>
        </is>
      </c>
      <c r="G571" t="inlineStr">
        <is>
          <t>SÄFFLE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7361-2025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45704</v>
      </c>
      <c r="E572" s="1" t="n">
        <v>46221</v>
      </c>
      <c r="F572" t="inlineStr">
        <is>
          <t>VÄRMLANDS LÄN</t>
        </is>
      </c>
      <c r="G572" t="inlineStr">
        <is>
          <t>SÄFFLE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35417-2025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45855</v>
      </c>
      <c r="E573" s="1" t="n">
        <v>46221</v>
      </c>
      <c r="F573" t="inlineStr">
        <is>
          <t>VÄRMLANDS LÄN</t>
        </is>
      </c>
      <c r="G573" t="inlineStr">
        <is>
          <t>SÄFFLE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20405-2026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46221</v>
      </c>
      <c r="F574" t="inlineStr">
        <is>
          <t>VÄRMLANDS LÄN</t>
        </is>
      </c>
      <c r="G574" t="inlineStr">
        <is>
          <t>SÄFFLE</t>
        </is>
      </c>
      <c r="I574" t="n">
        <v>8.1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35729-2023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46221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46221</v>
      </c>
      <c r="F576" t="inlineStr">
        <is>
          <t>VÄRMLANDS LÄN</t>
        </is>
      </c>
      <c r="G576" t="inlineStr">
        <is>
          <t>SÄFFLE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47919-2025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45932</v>
      </c>
      <c r="E577" s="1" t="n">
        <v>46221</v>
      </c>
      <c r="F577" t="inlineStr">
        <is>
          <t>VÄRMLANDS LÄN</t>
        </is>
      </c>
      <c r="G577" t="inlineStr">
        <is>
          <t>SÄFFLE</t>
        </is>
      </c>
      <c r="H577" t="inlineStr">
        <is>
          <t>Kyrkan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46859-2024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45583</v>
      </c>
      <c r="E578" s="1" t="n">
        <v>46221</v>
      </c>
      <c r="F578" t="inlineStr">
        <is>
          <t>VÄRMLANDS LÄN</t>
        </is>
      </c>
      <c r="G578" t="inlineStr">
        <is>
          <t>SÄFFLE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51602-2023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46221</v>
      </c>
      <c r="F579" t="inlineStr">
        <is>
          <t>VÄRMLANDS LÄN</t>
        </is>
      </c>
      <c r="G579" t="inlineStr">
        <is>
          <t>SÄFFLE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30976-2025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46221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40540-2025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45896</v>
      </c>
      <c r="E581" s="1" t="n">
        <v>46221</v>
      </c>
      <c r="F581" t="inlineStr">
        <is>
          <t>VÄRMLANDS LÄN</t>
        </is>
      </c>
      <c r="G581" t="inlineStr">
        <is>
          <t>SÄFFLE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14232-2025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46221</v>
      </c>
      <c r="F582" t="inlineStr">
        <is>
          <t>VÄRMLANDS LÄN</t>
        </is>
      </c>
      <c r="G582" t="inlineStr">
        <is>
          <t>SÄFFLE</t>
        </is>
      </c>
      <c r="H582" t="inlineStr">
        <is>
          <t>Bergvik skog väst AB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11737-2025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45727</v>
      </c>
      <c r="E583" s="1" t="n">
        <v>46221</v>
      </c>
      <c r="F583" t="inlineStr">
        <is>
          <t>VÄRMLANDS LÄN</t>
        </is>
      </c>
      <c r="G583" t="inlineStr">
        <is>
          <t>SÄFFLE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20336-2026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46221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34505-2025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46221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52424-2024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45609</v>
      </c>
      <c r="E586" s="1" t="n">
        <v>46221</v>
      </c>
      <c r="F586" t="inlineStr">
        <is>
          <t>VÄRMLANDS LÄN</t>
        </is>
      </c>
      <c r="G586" t="inlineStr">
        <is>
          <t>SÄFFLE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46221</v>
      </c>
      <c r="F587" t="inlineStr">
        <is>
          <t>VÄRMLANDS LÄN</t>
        </is>
      </c>
      <c r="G587" t="inlineStr">
        <is>
          <t>SÄFFLE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30686-2022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44763</v>
      </c>
      <c r="E588" s="1" t="n">
        <v>46221</v>
      </c>
      <c r="F588" t="inlineStr">
        <is>
          <t>VÄRMLANDS LÄN</t>
        </is>
      </c>
      <c r="G588" t="inlineStr">
        <is>
          <t>SÄFFLE</t>
        </is>
      </c>
      <c r="H588" t="inlineStr">
        <is>
          <t>Kyrkan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56498-2023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46221</v>
      </c>
      <c r="F589" t="inlineStr">
        <is>
          <t>VÄRMLANDS LÄN</t>
        </is>
      </c>
      <c r="G589" t="inlineStr">
        <is>
          <t>SÄFFLE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19273-2025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46221</v>
      </c>
      <c r="F590" t="inlineStr">
        <is>
          <t>VÄRMLANDS LÄN</t>
        </is>
      </c>
      <c r="G590" t="inlineStr">
        <is>
          <t>SÄFFLE</t>
        </is>
      </c>
      <c r="H590" t="inlineStr">
        <is>
          <t>Bergvik skog väst AB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40807-2023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45171</v>
      </c>
      <c r="E591" s="1" t="n">
        <v>46221</v>
      </c>
      <c r="F591" t="inlineStr">
        <is>
          <t>VÄRMLANDS LÄN</t>
        </is>
      </c>
      <c r="G591" t="inlineStr">
        <is>
          <t>SÄFFLE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26724-2026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46221</v>
      </c>
      <c r="F592" t="inlineStr">
        <is>
          <t>VÄRMLANDS LÄN</t>
        </is>
      </c>
      <c r="G592" t="inlineStr">
        <is>
          <t>SÄFFLE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49520-2023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46221</v>
      </c>
      <c r="F593" t="inlineStr">
        <is>
          <t>VÄRMLANDS LÄN</t>
        </is>
      </c>
      <c r="G593" t="inlineStr">
        <is>
          <t>SÄFFLE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45659</v>
      </c>
      <c r="E594" s="1" t="n">
        <v>46221</v>
      </c>
      <c r="F594" t="inlineStr">
        <is>
          <t>VÄRMLANDS LÄN</t>
        </is>
      </c>
      <c r="G594" t="inlineStr">
        <is>
          <t>SÄFFLE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49770-2023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46221</v>
      </c>
      <c r="F595" t="inlineStr">
        <is>
          <t>VÄRMLANDS LÄN</t>
        </is>
      </c>
      <c r="G595" t="inlineStr">
        <is>
          <t>SÄFFLE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40340-2022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44823</v>
      </c>
      <c r="E596" s="1" t="n">
        <v>46221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3771-2025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46221</v>
      </c>
      <c r="F597" t="inlineStr">
        <is>
          <t>VÄRMLANDS LÄN</t>
        </is>
      </c>
      <c r="G597" t="inlineStr">
        <is>
          <t>SÄFFLE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45165-2023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45191</v>
      </c>
      <c r="E598" s="1" t="n">
        <v>46221</v>
      </c>
      <c r="F598" t="inlineStr">
        <is>
          <t>VÄRMLANDS LÄN</t>
        </is>
      </c>
      <c r="G598" t="inlineStr">
        <is>
          <t>SÄFFLE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13183-2025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45735</v>
      </c>
      <c r="E599" s="1" t="n">
        <v>46221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45699</v>
      </c>
      <c r="E600" s="1" t="n">
        <v>46221</v>
      </c>
      <c r="F600" t="inlineStr">
        <is>
          <t>VÄRMLANDS LÄN</t>
        </is>
      </c>
      <c r="G600" t="inlineStr">
        <is>
          <t>SÄFFLE</t>
        </is>
      </c>
      <c r="H600" t="inlineStr">
        <is>
          <t>Bergvik skog väst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12232-2025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45729</v>
      </c>
      <c r="E601" s="1" t="n">
        <v>46221</v>
      </c>
      <c r="F601" t="inlineStr">
        <is>
          <t>VÄRMLANDS LÄN</t>
        </is>
      </c>
      <c r="G601" t="inlineStr">
        <is>
          <t>SÄFFLE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10115-2025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45719</v>
      </c>
      <c r="E602" s="1" t="n">
        <v>46221</v>
      </c>
      <c r="F602" t="inlineStr">
        <is>
          <t>VÄRMLANDS LÄN</t>
        </is>
      </c>
      <c r="G602" t="inlineStr">
        <is>
          <t>SÄFFLE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49255-2024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45595</v>
      </c>
      <c r="E603" s="1" t="n">
        <v>46221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53440-2023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45223</v>
      </c>
      <c r="E604" s="1" t="n">
        <v>46221</v>
      </c>
      <c r="F604" t="inlineStr">
        <is>
          <t>VÄRMLANDS LÄN</t>
        </is>
      </c>
      <c r="G604" t="inlineStr">
        <is>
          <t>SÄFFLE</t>
        </is>
      </c>
      <c r="I604" t="n">
        <v>19.1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32968-2024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45517</v>
      </c>
      <c r="E605" s="1" t="n">
        <v>46221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1449-2024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45303</v>
      </c>
      <c r="E606" s="1" t="n">
        <v>46221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21012-2026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46221</v>
      </c>
      <c r="F607" t="inlineStr">
        <is>
          <t>VÄRMLANDS LÄN</t>
        </is>
      </c>
      <c r="G607" t="inlineStr">
        <is>
          <t>SÄFFLE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63785-2023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45278</v>
      </c>
      <c r="E608" s="1" t="n">
        <v>46221</v>
      </c>
      <c r="F608" t="inlineStr">
        <is>
          <t>VÄRMLANDS LÄN</t>
        </is>
      </c>
      <c r="G608" t="inlineStr">
        <is>
          <t>SÄFFLE</t>
        </is>
      </c>
      <c r="H608" t="inlineStr">
        <is>
          <t>Kommuner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63803-2023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45278</v>
      </c>
      <c r="E609" s="1" t="n">
        <v>46221</v>
      </c>
      <c r="F609" t="inlineStr">
        <is>
          <t>VÄRMLANDS LÄN</t>
        </is>
      </c>
      <c r="G609" t="inlineStr">
        <is>
          <t>SÄFFLE</t>
        </is>
      </c>
      <c r="H609" t="inlineStr">
        <is>
          <t>Kommuner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45295</v>
      </c>
      <c r="E610" s="1" t="n">
        <v>46221</v>
      </c>
      <c r="F610" t="inlineStr">
        <is>
          <t>VÄRMLANDS LÄN</t>
        </is>
      </c>
      <c r="G610" t="inlineStr">
        <is>
          <t>SÄFFLE</t>
        </is>
      </c>
      <c r="I610" t="n">
        <v>7.2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63807-2023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46221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42319-2023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45180</v>
      </c>
      <c r="E612" s="1" t="n">
        <v>46221</v>
      </c>
      <c r="F612" t="inlineStr">
        <is>
          <t>VÄRMLANDS LÄN</t>
        </is>
      </c>
      <c r="G612" t="inlineStr">
        <is>
          <t>SÄFFLE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12630-2025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45733</v>
      </c>
      <c r="E613" s="1" t="n">
        <v>46221</v>
      </c>
      <c r="F613" t="inlineStr">
        <is>
          <t>VÄRMLANDS LÄN</t>
        </is>
      </c>
      <c r="G613" t="inlineStr">
        <is>
          <t>SÄFFLE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64322-2023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45280</v>
      </c>
      <c r="E614" s="1" t="n">
        <v>46221</v>
      </c>
      <c r="F614" t="inlineStr">
        <is>
          <t>VÄRMLANDS LÄN</t>
        </is>
      </c>
      <c r="G614" t="inlineStr">
        <is>
          <t>SÄFFLE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11904-2025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45728</v>
      </c>
      <c r="E615" s="1" t="n">
        <v>46221</v>
      </c>
      <c r="F615" t="inlineStr">
        <is>
          <t>VÄRMLANDS LÄN</t>
        </is>
      </c>
      <c r="G615" t="inlineStr">
        <is>
          <t>SÄFFLE</t>
        </is>
      </c>
      <c r="I615" t="n">
        <v>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64368-2023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45278</v>
      </c>
      <c r="E616" s="1" t="n">
        <v>46221</v>
      </c>
      <c r="F616" t="inlineStr">
        <is>
          <t>VÄRMLANDS LÄN</t>
        </is>
      </c>
      <c r="G616" t="inlineStr">
        <is>
          <t>SÄFFLE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47336-2022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44853</v>
      </c>
      <c r="E617" s="1" t="n">
        <v>46221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8766-2024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45352</v>
      </c>
      <c r="E618" s="1" t="n">
        <v>46221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21189-2026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46221</v>
      </c>
      <c r="F619" t="inlineStr">
        <is>
          <t>VÄRMLANDS LÄN</t>
        </is>
      </c>
      <c r="G619" t="inlineStr">
        <is>
          <t>SÄFFLE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21901-2026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46221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5221-2024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45330</v>
      </c>
      <c r="E621" s="1" t="n">
        <v>46221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10752-2023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44988</v>
      </c>
      <c r="E622" s="1" t="n">
        <v>46221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60018-2023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46221</v>
      </c>
      <c r="F623" t="inlineStr">
        <is>
          <t>VÄRMLANDS LÄN</t>
        </is>
      </c>
      <c r="G623" t="inlineStr">
        <is>
          <t>SÄFFLE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1834-2023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44938</v>
      </c>
      <c r="E624" s="1" t="n">
        <v>46221</v>
      </c>
      <c r="F624" t="inlineStr">
        <is>
          <t>VÄRMLANDS LÄN</t>
        </is>
      </c>
      <c r="G624" t="inlineStr">
        <is>
          <t>SÄFFLE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22049-2026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46221</v>
      </c>
      <c r="F625" t="inlineStr">
        <is>
          <t>VÄRMLANDS LÄN</t>
        </is>
      </c>
      <c r="G625" t="inlineStr">
        <is>
          <t>SÄFFLE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61223-2023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46221</v>
      </c>
      <c r="F626" t="inlineStr">
        <is>
          <t>VÄRMLANDS LÄN</t>
        </is>
      </c>
      <c r="G626" t="inlineStr">
        <is>
          <t>SÄFFLE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47236-2022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44852</v>
      </c>
      <c r="E627" s="1" t="n">
        <v>46221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12802-2025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46221</v>
      </c>
      <c r="F628" t="inlineStr">
        <is>
          <t>VÄRMLANDS LÄN</t>
        </is>
      </c>
      <c r="G628" t="inlineStr">
        <is>
          <t>SÄFFLE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27811-2023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46221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57153-2023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45239</v>
      </c>
      <c r="E630" s="1" t="n">
        <v>46221</v>
      </c>
      <c r="F630" t="inlineStr">
        <is>
          <t>VÄRMLANDS LÄN</t>
        </is>
      </c>
      <c r="G630" t="inlineStr">
        <is>
          <t>SÄFFLE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52081-2022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44868</v>
      </c>
      <c r="E631" s="1" t="n">
        <v>46221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64824-2023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45281</v>
      </c>
      <c r="E632" s="1" t="n">
        <v>46221</v>
      </c>
      <c r="F632" t="inlineStr">
        <is>
          <t>VÄRMLANDS LÄN</t>
        </is>
      </c>
      <c r="G632" t="inlineStr">
        <is>
          <t>SÄFFLE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13773-2025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45736</v>
      </c>
      <c r="E633" s="1" t="n">
        <v>46221</v>
      </c>
      <c r="F633" t="inlineStr">
        <is>
          <t>VÄRMLANDS LÄN</t>
        </is>
      </c>
      <c r="G633" t="inlineStr">
        <is>
          <t>SÄFFLE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11914-2025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46221</v>
      </c>
      <c r="F634" t="inlineStr">
        <is>
          <t>VÄRMLANDS LÄN</t>
        </is>
      </c>
      <c r="G634" t="inlineStr">
        <is>
          <t>SÄFFLE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10379-2022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44623</v>
      </c>
      <c r="E635" s="1" t="n">
        <v>46221</v>
      </c>
      <c r="F635" t="inlineStr">
        <is>
          <t>VÄRMLANDS LÄN</t>
        </is>
      </c>
      <c r="G635" t="inlineStr">
        <is>
          <t>SÄFFLE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6768-2025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45700</v>
      </c>
      <c r="E636" s="1" t="n">
        <v>46221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40324-2021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44419</v>
      </c>
      <c r="E637" s="1" t="n">
        <v>46221</v>
      </c>
      <c r="F637" t="inlineStr">
        <is>
          <t>VÄRMLANDS LÄN</t>
        </is>
      </c>
      <c r="G637" t="inlineStr">
        <is>
          <t>SÄFFLE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35117-2024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46221</v>
      </c>
      <c r="F638" t="inlineStr">
        <is>
          <t>VÄRMLANDS LÄN</t>
        </is>
      </c>
      <c r="G638" t="inlineStr">
        <is>
          <t>SÄFFLE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930-2024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46221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62550-2022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46221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47292-2021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44439</v>
      </c>
      <c r="E641" s="1" t="n">
        <v>46221</v>
      </c>
      <c r="F641" t="inlineStr">
        <is>
          <t>VÄRMLANDS LÄN</t>
        </is>
      </c>
      <c r="G641" t="inlineStr">
        <is>
          <t>SÄFFLE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11935-2025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46221</v>
      </c>
      <c r="F642" t="inlineStr">
        <is>
          <t>VÄRMLANDS LÄN</t>
        </is>
      </c>
      <c r="G642" t="inlineStr">
        <is>
          <t>SÄFFLE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49528-2023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46221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12482-2024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45379</v>
      </c>
      <c r="E644" s="1" t="n">
        <v>46221</v>
      </c>
      <c r="F644" t="inlineStr">
        <is>
          <t>VÄRMLANDS LÄN</t>
        </is>
      </c>
      <c r="G644" t="inlineStr">
        <is>
          <t>SÄFFLE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11392-2025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45725</v>
      </c>
      <c r="E645" s="1" t="n">
        <v>46221</v>
      </c>
      <c r="F645" t="inlineStr">
        <is>
          <t>VÄRMLANDS LÄN</t>
        </is>
      </c>
      <c r="G645" t="inlineStr">
        <is>
          <t>SÄFFLE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14200-2025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45740</v>
      </c>
      <c r="E646" s="1" t="n">
        <v>46221</v>
      </c>
      <c r="F646" t="inlineStr">
        <is>
          <t>VÄRMLANDS LÄN</t>
        </is>
      </c>
      <c r="G646" t="inlineStr">
        <is>
          <t>SÄFFLE</t>
        </is>
      </c>
      <c r="H646" t="inlineStr">
        <is>
          <t>Bergvik skog väst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14201-2025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45740</v>
      </c>
      <c r="E647" s="1" t="n">
        <v>46221</v>
      </c>
      <c r="F647" t="inlineStr">
        <is>
          <t>VÄRMLANDS LÄN</t>
        </is>
      </c>
      <c r="G647" t="inlineStr">
        <is>
          <t>SÄFFLE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22393-2026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46154</v>
      </c>
      <c r="E648" s="1" t="n">
        <v>46221</v>
      </c>
      <c r="F648" t="inlineStr">
        <is>
          <t>VÄRMLANDS LÄN</t>
        </is>
      </c>
      <c r="G648" t="inlineStr">
        <is>
          <t>SÄFFLE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55054-2024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45621</v>
      </c>
      <c r="E649" s="1" t="n">
        <v>46221</v>
      </c>
      <c r="F649" t="inlineStr">
        <is>
          <t>VÄRMLANDS LÄN</t>
        </is>
      </c>
      <c r="G649" t="inlineStr">
        <is>
          <t>SÄFFLE</t>
        </is>
      </c>
      <c r="I649" t="n">
        <v>8.800000000000001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50042-2024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45597</v>
      </c>
      <c r="E650" s="1" t="n">
        <v>46221</v>
      </c>
      <c r="F650" t="inlineStr">
        <is>
          <t>VÄRMLANDS LÄN</t>
        </is>
      </c>
      <c r="G650" t="inlineStr">
        <is>
          <t>SÄFFLE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59708-2022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44900</v>
      </c>
      <c r="E651" s="1" t="n">
        <v>46221</v>
      </c>
      <c r="F651" t="inlineStr">
        <is>
          <t>VÄRMLANDS LÄN</t>
        </is>
      </c>
      <c r="G651" t="inlineStr">
        <is>
          <t>SÄFFLE</t>
        </is>
      </c>
      <c r="I651" t="n">
        <v>11.2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40432-2021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44419</v>
      </c>
      <c r="E652" s="1" t="n">
        <v>46221</v>
      </c>
      <c r="F652" t="inlineStr">
        <is>
          <t>VÄRMLANDS LÄN</t>
        </is>
      </c>
      <c r="G652" t="inlineStr">
        <is>
          <t>SÄFFLE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5468-2023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44960</v>
      </c>
      <c r="E653" s="1" t="n">
        <v>46221</v>
      </c>
      <c r="F653" t="inlineStr">
        <is>
          <t>VÄRMLANDS LÄN</t>
        </is>
      </c>
      <c r="G653" t="inlineStr">
        <is>
          <t>SÄFFLE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52174-2024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45608</v>
      </c>
      <c r="E654" s="1" t="n">
        <v>46221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13891-2024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45391</v>
      </c>
      <c r="E655" s="1" t="n">
        <v>46221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22591-2026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46221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23188-2024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45450</v>
      </c>
      <c r="E657" s="1" t="n">
        <v>46221</v>
      </c>
      <c r="F657" t="inlineStr">
        <is>
          <t>VÄRMLANDS LÄN</t>
        </is>
      </c>
      <c r="G657" t="inlineStr">
        <is>
          <t>SÄFFLE</t>
        </is>
      </c>
      <c r="H657" t="inlineStr">
        <is>
          <t>Bergvik skog väst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18106-2023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46221</v>
      </c>
      <c r="F658" t="inlineStr">
        <is>
          <t>VÄRMLANDS LÄN</t>
        </is>
      </c>
      <c r="G658" t="inlineStr">
        <is>
          <t>SÄFFLE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32386-2025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45837</v>
      </c>
      <c r="E659" s="1" t="n">
        <v>46221</v>
      </c>
      <c r="F659" t="inlineStr">
        <is>
          <t>VÄRMLANDS LÄN</t>
        </is>
      </c>
      <c r="G659" t="inlineStr">
        <is>
          <t>SÄFFLE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40799-2022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44824</v>
      </c>
      <c r="E660" s="1" t="n">
        <v>46221</v>
      </c>
      <c r="F660" t="inlineStr">
        <is>
          <t>VÄRMLANDS LÄN</t>
        </is>
      </c>
      <c r="G660" t="inlineStr">
        <is>
          <t>SÄFFLE</t>
        </is>
      </c>
      <c r="I660" t="n">
        <v>11.4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43995-2024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45572</v>
      </c>
      <c r="E661" s="1" t="n">
        <v>46221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27985-2022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44745</v>
      </c>
      <c r="E662" s="1" t="n">
        <v>46221</v>
      </c>
      <c r="F662" t="inlineStr">
        <is>
          <t>VÄRMLANDS LÄN</t>
        </is>
      </c>
      <c r="G662" t="inlineStr">
        <is>
          <t>SÄFFLE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28737-2026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46221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62641-2023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45271</v>
      </c>
      <c r="E664" s="1" t="n">
        <v>46221</v>
      </c>
      <c r="F664" t="inlineStr">
        <is>
          <t>VÄRMLANDS LÄN</t>
        </is>
      </c>
      <c r="G664" t="inlineStr">
        <is>
          <t>SÄFFLE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7376-2026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46221</v>
      </c>
      <c r="F665" t="inlineStr">
        <is>
          <t>VÄRMLANDS LÄN</t>
        </is>
      </c>
      <c r="G665" t="inlineStr">
        <is>
          <t>SÄFFLE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39587-2025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45890</v>
      </c>
      <c r="E666" s="1" t="n">
        <v>46221</v>
      </c>
      <c r="F666" t="inlineStr">
        <is>
          <t>VÄRMLANDS LÄN</t>
        </is>
      </c>
      <c r="G666" t="inlineStr">
        <is>
          <t>SÄFFLE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30681-2022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44763</v>
      </c>
      <c r="E667" s="1" t="n">
        <v>46221</v>
      </c>
      <c r="F667" t="inlineStr">
        <is>
          <t>VÄRMLANDS LÄN</t>
        </is>
      </c>
      <c r="G667" t="inlineStr">
        <is>
          <t>SÄFFLE</t>
        </is>
      </c>
      <c r="H667" t="inlineStr">
        <is>
          <t>Kyrkan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28951-2026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46191</v>
      </c>
      <c r="E668" s="1" t="n">
        <v>46221</v>
      </c>
      <c r="F668" t="inlineStr">
        <is>
          <t>VÄRMLANDS LÄN</t>
        </is>
      </c>
      <c r="G668" t="inlineStr">
        <is>
          <t>SÄFFLE</t>
        </is>
      </c>
      <c r="I668" t="n">
        <v>10.6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17916-2024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45419</v>
      </c>
      <c r="E669" s="1" t="n">
        <v>46221</v>
      </c>
      <c r="F669" t="inlineStr">
        <is>
          <t>VÄRMLANDS LÄN</t>
        </is>
      </c>
      <c r="G669" t="inlineStr">
        <is>
          <t>SÄFFLE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73662-2021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44552</v>
      </c>
      <c r="E670" s="1" t="n">
        <v>46221</v>
      </c>
      <c r="F670" t="inlineStr">
        <is>
          <t>VÄRMLANDS LÄN</t>
        </is>
      </c>
      <c r="G670" t="inlineStr">
        <is>
          <t>SÄFFLE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37782-2024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45542</v>
      </c>
      <c r="E671" s="1" t="n">
        <v>46221</v>
      </c>
      <c r="F671" t="inlineStr">
        <is>
          <t>VÄRMLANDS LÄN</t>
        </is>
      </c>
      <c r="G671" t="inlineStr">
        <is>
          <t>SÄFFLE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21563-2023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45063</v>
      </c>
      <c r="E672" s="1" t="n">
        <v>46221</v>
      </c>
      <c r="F672" t="inlineStr">
        <is>
          <t>VÄRMLANDS LÄN</t>
        </is>
      </c>
      <c r="G672" t="inlineStr">
        <is>
          <t>SÄFFLE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29589-2025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46221</v>
      </c>
      <c r="F673" t="inlineStr">
        <is>
          <t>VÄRMLANDS LÄN</t>
        </is>
      </c>
      <c r="G673" t="inlineStr">
        <is>
          <t>SÄFFLE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13493-2024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45387</v>
      </c>
      <c r="E674" s="1" t="n">
        <v>46221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15632-2024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45403</v>
      </c>
      <c r="E675" s="1" t="n">
        <v>46221</v>
      </c>
      <c r="F675" t="inlineStr">
        <is>
          <t>VÄRMLANDS LÄN</t>
        </is>
      </c>
      <c r="G675" t="inlineStr">
        <is>
          <t>SÄFFLE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16484-2022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44671</v>
      </c>
      <c r="E676" s="1" t="n">
        <v>46221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58653-2023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45251</v>
      </c>
      <c r="E677" s="1" t="n">
        <v>46221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61677-2021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44501</v>
      </c>
      <c r="E678" s="1" t="n">
        <v>46221</v>
      </c>
      <c r="F678" t="inlineStr">
        <is>
          <t>VÄRMLANDS LÄN</t>
        </is>
      </c>
      <c r="G678" t="inlineStr">
        <is>
          <t>SÄFFLE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60073-2022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46221</v>
      </c>
      <c r="F679" t="inlineStr">
        <is>
          <t>VÄRMLANDS LÄN</t>
        </is>
      </c>
      <c r="G679" t="inlineStr">
        <is>
          <t>SÄFFLE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16494-2022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44671</v>
      </c>
      <c r="E680" s="1" t="n">
        <v>46221</v>
      </c>
      <c r="F680" t="inlineStr">
        <is>
          <t>VÄRMLANDS LÄN</t>
        </is>
      </c>
      <c r="G680" t="inlineStr">
        <is>
          <t>SÄFFLE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29520-2026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46221</v>
      </c>
      <c r="F681" t="inlineStr">
        <is>
          <t>VÄRMLANDS LÄN</t>
        </is>
      </c>
      <c r="G681" t="inlineStr">
        <is>
          <t>SÄFFLE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32747-2024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45516</v>
      </c>
      <c r="E682" s="1" t="n">
        <v>46221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32751-2024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45516</v>
      </c>
      <c r="E683" s="1" t="n">
        <v>46221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31945-2022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44777</v>
      </c>
      <c r="E684" s="1" t="n">
        <v>46221</v>
      </c>
      <c r="F684" t="inlineStr">
        <is>
          <t>VÄRMLANDS LÄN</t>
        </is>
      </c>
      <c r="G684" t="inlineStr">
        <is>
          <t>SÄFFLE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18469-2024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45425</v>
      </c>
      <c r="E685" s="1" t="n">
        <v>46221</v>
      </c>
      <c r="F685" t="inlineStr">
        <is>
          <t>VÄRMLANDS LÄN</t>
        </is>
      </c>
      <c r="G685" t="inlineStr">
        <is>
          <t>SÄFFLE</t>
        </is>
      </c>
      <c r="I685" t="n">
        <v>7.9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14465-2023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45012</v>
      </c>
      <c r="E686" s="1" t="n">
        <v>46221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6614-2024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45341</v>
      </c>
      <c r="E687" s="1" t="n">
        <v>46221</v>
      </c>
      <c r="F687" t="inlineStr">
        <is>
          <t>VÄRMLANDS LÄN</t>
        </is>
      </c>
      <c r="G687" t="inlineStr">
        <is>
          <t>SÄFFLE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58383-2021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44488</v>
      </c>
      <c r="E688" s="1" t="n">
        <v>46221</v>
      </c>
      <c r="F688" t="inlineStr">
        <is>
          <t>VÄRMLANDS LÄN</t>
        </is>
      </c>
      <c r="G688" t="inlineStr">
        <is>
          <t>SÄFFLE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47808-2025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45931</v>
      </c>
      <c r="E689" s="1" t="n">
        <v>46221</v>
      </c>
      <c r="F689" t="inlineStr">
        <is>
          <t>VÄRMLANDS LÄN</t>
        </is>
      </c>
      <c r="G689" t="inlineStr">
        <is>
          <t>SÄFFLE</t>
        </is>
      </c>
      <c r="H689" t="inlineStr">
        <is>
          <t>Kyrkan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49979-2024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45597</v>
      </c>
      <c r="E690" s="1" t="n">
        <v>46221</v>
      </c>
      <c r="F690" t="inlineStr">
        <is>
          <t>VÄRMLANDS LÄN</t>
        </is>
      </c>
      <c r="G690" t="inlineStr">
        <is>
          <t>SÄFFLE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23669-2026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46221</v>
      </c>
      <c r="F691" t="inlineStr">
        <is>
          <t>VÄRMLANDS LÄN</t>
        </is>
      </c>
      <c r="G691" t="inlineStr">
        <is>
          <t>SÄFFLE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26110-2025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45805</v>
      </c>
      <c r="E692" s="1" t="n">
        <v>46221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53239-2021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44468</v>
      </c>
      <c r="E693" s="1" t="n">
        <v>46221</v>
      </c>
      <c r="F693" t="inlineStr">
        <is>
          <t>VÄRMLANDS LÄN</t>
        </is>
      </c>
      <c r="G693" t="inlineStr">
        <is>
          <t>SÄFFLE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18424-2024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45425</v>
      </c>
      <c r="E694" s="1" t="n">
        <v>46221</v>
      </c>
      <c r="F694" t="inlineStr">
        <is>
          <t>VÄRMLANDS LÄN</t>
        </is>
      </c>
      <c r="G694" t="inlineStr">
        <is>
          <t>SÄFFLE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43894-2024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45572</v>
      </c>
      <c r="E695" s="1" t="n">
        <v>46221</v>
      </c>
      <c r="F695" t="inlineStr">
        <is>
          <t>VÄRMLANDS LÄN</t>
        </is>
      </c>
      <c r="G695" t="inlineStr">
        <is>
          <t>SÄFFLE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7876-2022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44608</v>
      </c>
      <c r="E696" s="1" t="n">
        <v>46221</v>
      </c>
      <c r="F696" t="inlineStr">
        <is>
          <t>VÄRMLANDS LÄN</t>
        </is>
      </c>
      <c r="G696" t="inlineStr">
        <is>
          <t>SÄFFLE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18228-2023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45040</v>
      </c>
      <c r="E697" s="1" t="n">
        <v>46221</v>
      </c>
      <c r="F697" t="inlineStr">
        <is>
          <t>VÄRMLANDS LÄN</t>
        </is>
      </c>
      <c r="G697" t="inlineStr">
        <is>
          <t>SÄFFLE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4848-2023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44952</v>
      </c>
      <c r="E698" s="1" t="n">
        <v>46221</v>
      </c>
      <c r="F698" t="inlineStr">
        <is>
          <t>VÄRMLANDS LÄN</t>
        </is>
      </c>
      <c r="G698" t="inlineStr">
        <is>
          <t>SÄFFLE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55274-2023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45237</v>
      </c>
      <c r="E699" s="1" t="n">
        <v>46221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40466-2024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45555</v>
      </c>
      <c r="E700" s="1" t="n">
        <v>46221</v>
      </c>
      <c r="F700" t="inlineStr">
        <is>
          <t>VÄRMLANDS LÄN</t>
        </is>
      </c>
      <c r="G700" t="inlineStr">
        <is>
          <t>SÄFFLE</t>
        </is>
      </c>
      <c r="I700" t="n">
        <v>17.3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58020-2024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45631</v>
      </c>
      <c r="E701" s="1" t="n">
        <v>46221</v>
      </c>
      <c r="F701" t="inlineStr">
        <is>
          <t>VÄRMLANDS LÄN</t>
        </is>
      </c>
      <c r="G701" t="inlineStr">
        <is>
          <t>SÄFFLE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29508-2023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46221</v>
      </c>
      <c r="F702" t="inlineStr">
        <is>
          <t>VÄRMLANDS LÄN</t>
        </is>
      </c>
      <c r="G702" t="inlineStr">
        <is>
          <t>SÄFFLE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19952-2024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45433</v>
      </c>
      <c r="E703" s="1" t="n">
        <v>46221</v>
      </c>
      <c r="F703" t="inlineStr">
        <is>
          <t>VÄRMLANDS LÄN</t>
        </is>
      </c>
      <c r="G703" t="inlineStr">
        <is>
          <t>SÄFFLE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23667-2026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46221</v>
      </c>
      <c r="F704" t="inlineStr">
        <is>
          <t>VÄRMLANDS LÄN</t>
        </is>
      </c>
      <c r="G704" t="inlineStr">
        <is>
          <t>SÄFFLE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27231-2024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45471</v>
      </c>
      <c r="E705" s="1" t="n">
        <v>46221</v>
      </c>
      <c r="F705" t="inlineStr">
        <is>
          <t>VÄRMLANDS LÄN</t>
        </is>
      </c>
      <c r="G705" t="inlineStr">
        <is>
          <t>SÄFFLE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11398-2024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45372</v>
      </c>
      <c r="E706" s="1" t="n">
        <v>46221</v>
      </c>
      <c r="F706" t="inlineStr">
        <is>
          <t>VÄRMLANDS LÄN</t>
        </is>
      </c>
      <c r="G706" t="inlineStr">
        <is>
          <t>SÄFFLE</t>
        </is>
      </c>
      <c r="H706" t="inlineStr">
        <is>
          <t>Bergvik skog väst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57089-2023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46221</v>
      </c>
      <c r="F707" t="inlineStr">
        <is>
          <t>VÄRMLANDS LÄN</t>
        </is>
      </c>
      <c r="G707" t="inlineStr">
        <is>
          <t>SÄFFLE</t>
        </is>
      </c>
      <c r="H707" t="inlineStr">
        <is>
          <t>Bergvik skog väst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14436-2024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45394</v>
      </c>
      <c r="E708" s="1" t="n">
        <v>46221</v>
      </c>
      <c r="F708" t="inlineStr">
        <is>
          <t>VÄRMLANDS LÄN</t>
        </is>
      </c>
      <c r="G708" t="inlineStr">
        <is>
          <t>SÄFFLE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59203-2023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45253</v>
      </c>
      <c r="E709" s="1" t="n">
        <v>46221</v>
      </c>
      <c r="F709" t="inlineStr">
        <is>
          <t>VÄRMLANDS LÄN</t>
        </is>
      </c>
      <c r="G709" t="inlineStr">
        <is>
          <t>SÄFFLE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30438-2026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46221</v>
      </c>
      <c r="F710" t="inlineStr">
        <is>
          <t>VÄRMLANDS LÄN</t>
        </is>
      </c>
      <c r="G710" t="inlineStr">
        <is>
          <t>SÄFFLE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30450-2026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46221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30455-2026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46221</v>
      </c>
      <c r="F712" t="inlineStr">
        <is>
          <t>VÄRMLANDS LÄN</t>
        </is>
      </c>
      <c r="G712" t="inlineStr">
        <is>
          <t>SÄFFLE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37306-2023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45156</v>
      </c>
      <c r="E713" s="1" t="n">
        <v>46221</v>
      </c>
      <c r="F713" t="inlineStr">
        <is>
          <t>VÄRMLANDS LÄN</t>
        </is>
      </c>
      <c r="G713" t="inlineStr">
        <is>
          <t>SÄFFLE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32078-2023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45107</v>
      </c>
      <c r="E714" s="1" t="n">
        <v>46221</v>
      </c>
      <c r="F714" t="inlineStr">
        <is>
          <t>VÄRMLANDS LÄN</t>
        </is>
      </c>
      <c r="G714" t="inlineStr">
        <is>
          <t>SÄFFLE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30435-2026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46221</v>
      </c>
      <c r="F715" t="inlineStr">
        <is>
          <t>VÄRMLANDS LÄN</t>
        </is>
      </c>
      <c r="G715" t="inlineStr">
        <is>
          <t>SÄFFLE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30442-2026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46221</v>
      </c>
      <c r="F716" t="inlineStr">
        <is>
          <t>VÄRMLANDS LÄN</t>
        </is>
      </c>
      <c r="G716" t="inlineStr">
        <is>
          <t>SÄFFLE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12134-2023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44998</v>
      </c>
      <c r="E717" s="1" t="n">
        <v>46221</v>
      </c>
      <c r="F717" t="inlineStr">
        <is>
          <t>VÄRMLANDS LÄN</t>
        </is>
      </c>
      <c r="G717" t="inlineStr">
        <is>
          <t>SÄFFLE</t>
        </is>
      </c>
      <c r="I717" t="n">
        <v>11.1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40630-2022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44823</v>
      </c>
      <c r="E718" s="1" t="n">
        <v>46221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24009-2026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46221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30456-2026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46209</v>
      </c>
      <c r="E720" s="1" t="n">
        <v>46221</v>
      </c>
      <c r="F720" t="inlineStr">
        <is>
          <t>VÄRMLANDS LÄN</t>
        </is>
      </c>
      <c r="G720" t="inlineStr">
        <is>
          <t>SÄFFLE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24347-2024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45457</v>
      </c>
      <c r="E721" s="1" t="n">
        <v>46221</v>
      </c>
      <c r="F721" t="inlineStr">
        <is>
          <t>VÄRMLANDS LÄN</t>
        </is>
      </c>
      <c r="G721" t="inlineStr">
        <is>
          <t>SÄFFLE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44929</v>
      </c>
      <c r="E722" s="1" t="n">
        <v>46221</v>
      </c>
      <c r="F722" t="inlineStr">
        <is>
          <t>VÄRMLANDS LÄN</t>
        </is>
      </c>
      <c r="G722" t="inlineStr">
        <is>
          <t>SÄFFLE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33993-2024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45523</v>
      </c>
      <c r="E723" s="1" t="n">
        <v>46221</v>
      </c>
      <c r="F723" t="inlineStr">
        <is>
          <t>VÄRMLANDS LÄN</t>
        </is>
      </c>
      <c r="G723" t="inlineStr">
        <is>
          <t>SÄFFLE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9282-2024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45358</v>
      </c>
      <c r="E724" s="1" t="n">
        <v>46221</v>
      </c>
      <c r="F724" t="inlineStr">
        <is>
          <t>VÄRMLANDS LÄN</t>
        </is>
      </c>
      <c r="G724" t="inlineStr">
        <is>
          <t>SÄFFLE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21184-2023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45062</v>
      </c>
      <c r="E725" s="1" t="n">
        <v>46221</v>
      </c>
      <c r="F725" t="inlineStr">
        <is>
          <t>VÄRMLANDS LÄN</t>
        </is>
      </c>
      <c r="G725" t="inlineStr">
        <is>
          <t>SÄFFLE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24563-2026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46221</v>
      </c>
      <c r="F726" t="inlineStr">
        <is>
          <t>VÄRMLANDS LÄN</t>
        </is>
      </c>
      <c r="G726" t="inlineStr">
        <is>
          <t>SÄFFLE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24573-2026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46221</v>
      </c>
      <c r="F727" t="inlineStr">
        <is>
          <t>VÄRMLANDS LÄN</t>
        </is>
      </c>
      <c r="G727" t="inlineStr">
        <is>
          <t>SÄFFLE</t>
        </is>
      </c>
      <c r="H727" t="inlineStr">
        <is>
          <t>Kommuner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31020-2026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46221</v>
      </c>
      <c r="F728" t="inlineStr">
        <is>
          <t>VÄRMLANDS LÄN</t>
        </is>
      </c>
      <c r="G728" t="inlineStr">
        <is>
          <t>SÄFFLE</t>
        </is>
      </c>
      <c r="I728" t="n">
        <v>14.3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67203-2021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44523</v>
      </c>
      <c r="E729" s="1" t="n">
        <v>46221</v>
      </c>
      <c r="F729" t="inlineStr">
        <is>
          <t>VÄRMLANDS LÄN</t>
        </is>
      </c>
      <c r="G729" t="inlineStr">
        <is>
          <t>SÄFFLE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33881-2024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45522</v>
      </c>
      <c r="E730" s="1" t="n">
        <v>46221</v>
      </c>
      <c r="F730" t="inlineStr">
        <is>
          <t>VÄRMLANDS LÄN</t>
        </is>
      </c>
      <c r="G730" t="inlineStr">
        <is>
          <t>SÄFFLE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30624-2024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45495</v>
      </c>
      <c r="E731" s="1" t="n">
        <v>46221</v>
      </c>
      <c r="F731" t="inlineStr">
        <is>
          <t>VÄRMLANDS LÄN</t>
        </is>
      </c>
      <c r="G731" t="inlineStr">
        <is>
          <t>SÄFFLE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36001-2023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45149</v>
      </c>
      <c r="E732" s="1" t="n">
        <v>46221</v>
      </c>
      <c r="F732" t="inlineStr">
        <is>
          <t>VÄRMLANDS LÄN</t>
        </is>
      </c>
      <c r="G732" t="inlineStr">
        <is>
          <t>SÄFFLE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24554-2026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46221</v>
      </c>
      <c r="F733" t="inlineStr">
        <is>
          <t>VÄRMLANDS LÄN</t>
        </is>
      </c>
      <c r="G733" t="inlineStr">
        <is>
          <t>SÄFFLE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58105-2021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44487</v>
      </c>
      <c r="E734" s="1" t="n">
        <v>46221</v>
      </c>
      <c r="F734" t="inlineStr">
        <is>
          <t>VÄRMLANDS LÄN</t>
        </is>
      </c>
      <c r="G734" t="inlineStr">
        <is>
          <t>SÄFFLE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24546-2026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46221</v>
      </c>
      <c r="F735" t="inlineStr">
        <is>
          <t>VÄRMLANDS LÄN</t>
        </is>
      </c>
      <c r="G735" t="inlineStr">
        <is>
          <t>SÄFFLE</t>
        </is>
      </c>
      <c r="H735" t="inlineStr">
        <is>
          <t>Kommuner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24559-2026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46221</v>
      </c>
      <c r="F736" t="inlineStr">
        <is>
          <t>VÄRMLANDS LÄN</t>
        </is>
      </c>
      <c r="G736" t="inlineStr">
        <is>
          <t>SÄFFLE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46221</v>
      </c>
      <c r="F737" t="inlineStr">
        <is>
          <t>VÄRMLANDS LÄN</t>
        </is>
      </c>
      <c r="G737" t="inlineStr">
        <is>
          <t>SÄFFLE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24549-2026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46221</v>
      </c>
      <c r="F738" t="inlineStr">
        <is>
          <t>VÄRMLANDS LÄN</t>
        </is>
      </c>
      <c r="G738" t="inlineStr">
        <is>
          <t>SÄFFLE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33245-2023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45127</v>
      </c>
      <c r="E739" s="1" t="n">
        <v>46221</v>
      </c>
      <c r="F739" t="inlineStr">
        <is>
          <t>VÄRMLANDS LÄN</t>
        </is>
      </c>
      <c r="G739" t="inlineStr">
        <is>
          <t>SÄFFLE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25170-2026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46221</v>
      </c>
      <c r="F740" t="inlineStr">
        <is>
          <t>VÄRMLANDS LÄN</t>
        </is>
      </c>
      <c r="G740" t="inlineStr">
        <is>
          <t>SÄFFLE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45667</v>
      </c>
      <c r="E741" s="1" t="n">
        <v>46221</v>
      </c>
      <c r="F741" t="inlineStr">
        <is>
          <t>VÄRMLANDS LÄN</t>
        </is>
      </c>
      <c r="G741" t="inlineStr">
        <is>
          <t>SÄFFLE</t>
        </is>
      </c>
      <c r="H741" t="inlineStr">
        <is>
          <t>Kommuner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61597-2022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44916</v>
      </c>
      <c r="E742" s="1" t="n">
        <v>46221</v>
      </c>
      <c r="F742" t="inlineStr">
        <is>
          <t>VÄRMLANDS LÄN</t>
        </is>
      </c>
      <c r="G742" t="inlineStr">
        <is>
          <t>SÄFFLE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61991-2023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46221</v>
      </c>
      <c r="F743" t="inlineStr">
        <is>
          <t>VÄRMLANDS LÄN</t>
        </is>
      </c>
      <c r="G743" t="inlineStr">
        <is>
          <t>SÄFFLE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73119-2021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44546</v>
      </c>
      <c r="E744" s="1" t="n">
        <v>46221</v>
      </c>
      <c r="F744" t="inlineStr">
        <is>
          <t>VÄRMLANDS LÄN</t>
        </is>
      </c>
      <c r="G744" t="inlineStr">
        <is>
          <t>SÄFFLE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35709-2023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45147</v>
      </c>
      <c r="E745" s="1" t="n">
        <v>46221</v>
      </c>
      <c r="F745" t="inlineStr">
        <is>
          <t>VÄRMLANDS LÄN</t>
        </is>
      </c>
      <c r="G745" t="inlineStr">
        <is>
          <t>SÄFFLE</t>
        </is>
      </c>
      <c r="I745" t="n">
        <v>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8058-2022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44609</v>
      </c>
      <c r="E746" s="1" t="n">
        <v>46221</v>
      </c>
      <c r="F746" t="inlineStr">
        <is>
          <t>VÄRMLANDS LÄN</t>
        </is>
      </c>
      <c r="G746" t="inlineStr">
        <is>
          <t>SÄFFLE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24937-2026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46174</v>
      </c>
      <c r="E747" s="1" t="n">
        <v>46221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16958-2024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45411</v>
      </c>
      <c r="E748" s="1" t="n">
        <v>46221</v>
      </c>
      <c r="F748" t="inlineStr">
        <is>
          <t>VÄRMLANDS LÄN</t>
        </is>
      </c>
      <c r="G748" t="inlineStr">
        <is>
          <t>SÄFFLE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10322-2024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45365</v>
      </c>
      <c r="E749" s="1" t="n">
        <v>46221</v>
      </c>
      <c r="F749" t="inlineStr">
        <is>
          <t>VÄRMLANDS LÄN</t>
        </is>
      </c>
      <c r="G749" t="inlineStr">
        <is>
          <t>SÄFFLE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4253-2024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46221</v>
      </c>
      <c r="F750" t="inlineStr">
        <is>
          <t>VÄRMLANDS LÄN</t>
        </is>
      </c>
      <c r="G750" t="inlineStr">
        <is>
          <t>SÄFFLE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20175-2023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45055</v>
      </c>
      <c r="E751" s="1" t="n">
        <v>46221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8737-2024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46221</v>
      </c>
      <c r="F752" t="inlineStr">
        <is>
          <t>VÄRMLANDS LÄN</t>
        </is>
      </c>
      <c r="G752" t="inlineStr">
        <is>
          <t>SÄFFLE</t>
        </is>
      </c>
      <c r="I752" t="n">
        <v>7.1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25326-2026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46221</v>
      </c>
      <c r="F753" t="inlineStr">
        <is>
          <t>VÄRMLANDS LÄN</t>
        </is>
      </c>
      <c r="G753" t="inlineStr">
        <is>
          <t>SÄFFLE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10102-2025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45719</v>
      </c>
      <c r="E754" s="1" t="n">
        <v>46221</v>
      </c>
      <c r="F754" t="inlineStr">
        <is>
          <t>VÄRMLANDS LÄN</t>
        </is>
      </c>
      <c r="G754" t="inlineStr">
        <is>
          <t>SÄFFLE</t>
        </is>
      </c>
      <c r="I754" t="n">
        <v>5.5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21821-2022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44709</v>
      </c>
      <c r="E755" s="1" t="n">
        <v>46221</v>
      </c>
      <c r="F755" t="inlineStr">
        <is>
          <t>VÄRMLANDS LÄN</t>
        </is>
      </c>
      <c r="G755" t="inlineStr">
        <is>
          <t>SÄFFLE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13321-2023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45005</v>
      </c>
      <c r="E756" s="1" t="n">
        <v>46221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25459-2026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46221</v>
      </c>
      <c r="F757" t="inlineStr">
        <is>
          <t>VÄRMLANDS LÄN</t>
        </is>
      </c>
      <c r="G757" t="inlineStr">
        <is>
          <t>SÄFFLE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64073-2023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45279</v>
      </c>
      <c r="E758" s="1" t="n">
        <v>46221</v>
      </c>
      <c r="F758" t="inlineStr">
        <is>
          <t>VÄRMLANDS LÄN</t>
        </is>
      </c>
      <c r="G758" t="inlineStr">
        <is>
          <t>SÄFFLE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58914-2022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44896</v>
      </c>
      <c r="E759" s="1" t="n">
        <v>46221</v>
      </c>
      <c r="F759" t="inlineStr">
        <is>
          <t>VÄRMLANDS LÄN</t>
        </is>
      </c>
      <c r="G759" t="inlineStr">
        <is>
          <t>SÄFFLE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27444-2024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45474</v>
      </c>
      <c r="E760" s="1" t="n">
        <v>46221</v>
      </c>
      <c r="F760" t="inlineStr">
        <is>
          <t>VÄRMLANDS LÄN</t>
        </is>
      </c>
      <c r="G760" t="inlineStr">
        <is>
          <t>SÄFFLE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44921</v>
      </c>
      <c r="E761" s="1" t="n">
        <v>46221</v>
      </c>
      <c r="F761" t="inlineStr">
        <is>
          <t>VÄRMLANDS LÄN</t>
        </is>
      </c>
      <c r="G761" t="inlineStr">
        <is>
          <t>SÄFFLE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9612-2024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45361</v>
      </c>
      <c r="E762" s="1" t="n">
        <v>46221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28267-2024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45477</v>
      </c>
      <c r="E763" s="1" t="n">
        <v>46221</v>
      </c>
      <c r="F763" t="inlineStr">
        <is>
          <t>VÄRMLANDS LÄN</t>
        </is>
      </c>
      <c r="G763" t="inlineStr">
        <is>
          <t>SÄFFLE</t>
        </is>
      </c>
      <c r="I763" t="n">
        <v>9.4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5331-2023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44959</v>
      </c>
      <c r="E764" s="1" t="n">
        <v>46221</v>
      </c>
      <c r="F764" t="inlineStr">
        <is>
          <t>VÄRMLANDS LÄN</t>
        </is>
      </c>
      <c r="G764" t="inlineStr">
        <is>
          <t>SÄFFLE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2933-2023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44945</v>
      </c>
      <c r="E765" s="1" t="n">
        <v>46221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37420-2023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45156</v>
      </c>
      <c r="E766" s="1" t="n">
        <v>46221</v>
      </c>
      <c r="F766" t="inlineStr">
        <is>
          <t>VÄRMLANDS LÄN</t>
        </is>
      </c>
      <c r="G766" t="inlineStr">
        <is>
          <t>SÄFFLE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58639-2024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45635</v>
      </c>
      <c r="E767" s="1" t="n">
        <v>46221</v>
      </c>
      <c r="F767" t="inlineStr">
        <is>
          <t>VÄRMLANDS LÄN</t>
        </is>
      </c>
      <c r="G767" t="inlineStr">
        <is>
          <t>SÄFFLE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33857-2023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45133</v>
      </c>
      <c r="E768" s="1" t="n">
        <v>46221</v>
      </c>
      <c r="F768" t="inlineStr">
        <is>
          <t>VÄRMLANDS LÄN</t>
        </is>
      </c>
      <c r="G768" t="inlineStr">
        <is>
          <t>SÄFFLE</t>
        </is>
      </c>
      <c r="I768" t="n">
        <v>29.5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64366-2023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45278</v>
      </c>
      <c r="E769" s="1" t="n">
        <v>46221</v>
      </c>
      <c r="F769" t="inlineStr">
        <is>
          <t>VÄRMLANDS LÄN</t>
        </is>
      </c>
      <c r="G769" t="inlineStr">
        <is>
          <t>SÄFFLE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41804-2023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45176</v>
      </c>
      <c r="E770" s="1" t="n">
        <v>46221</v>
      </c>
      <c r="F770" t="inlineStr">
        <is>
          <t>VÄRMLANDS LÄN</t>
        </is>
      </c>
      <c r="G770" t="inlineStr">
        <is>
          <t>SÄFFLE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55090-2022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44881</v>
      </c>
      <c r="E771" s="1" t="n">
        <v>46221</v>
      </c>
      <c r="F771" t="inlineStr">
        <is>
          <t>VÄRMLANDS LÄN</t>
        </is>
      </c>
      <c r="G771" t="inlineStr">
        <is>
          <t>SÄFFLE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55094-2022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44886</v>
      </c>
      <c r="E772" s="1" t="n">
        <v>46221</v>
      </c>
      <c r="F772" t="inlineStr">
        <is>
          <t>VÄRMLANDS LÄN</t>
        </is>
      </c>
      <c r="G772" t="inlineStr">
        <is>
          <t>SÄFFLE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40863-2023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45173</v>
      </c>
      <c r="E773" s="1" t="n">
        <v>46221</v>
      </c>
      <c r="F773" t="inlineStr">
        <is>
          <t>VÄRMLANDS LÄN</t>
        </is>
      </c>
      <c r="G773" t="inlineStr">
        <is>
          <t>SÄFFLE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2902-2025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45677</v>
      </c>
      <c r="E774" s="1" t="n">
        <v>46221</v>
      </c>
      <c r="F774" t="inlineStr">
        <is>
          <t>VÄRMLANDS LÄN</t>
        </is>
      </c>
      <c r="G774" t="inlineStr">
        <is>
          <t>SÄFFLE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6254-2024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45337</v>
      </c>
      <c r="E775" s="1" t="n">
        <v>46221</v>
      </c>
      <c r="F775" t="inlineStr">
        <is>
          <t>VÄRMLANDS LÄN</t>
        </is>
      </c>
      <c r="G775" t="inlineStr">
        <is>
          <t>SÄFFLE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32102-2023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45107</v>
      </c>
      <c r="E776" s="1" t="n">
        <v>46221</v>
      </c>
      <c r="F776" t="inlineStr">
        <is>
          <t>VÄRMLANDS LÄN</t>
        </is>
      </c>
      <c r="G776" t="inlineStr">
        <is>
          <t>SÄFFLE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1366-2025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45667</v>
      </c>
      <c r="E777" s="1" t="n">
        <v>46221</v>
      </c>
      <c r="F777" t="inlineStr">
        <is>
          <t>VÄRMLANDS LÄN</t>
        </is>
      </c>
      <c r="G777" t="inlineStr">
        <is>
          <t>SÄFFLE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8668-2025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45712</v>
      </c>
      <c r="E778" s="1" t="n">
        <v>46221</v>
      </c>
      <c r="F778" t="inlineStr">
        <is>
          <t>VÄRMLANDS LÄN</t>
        </is>
      </c>
      <c r="G778" t="inlineStr">
        <is>
          <t>SÄFFLE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25947-2022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44734</v>
      </c>
      <c r="E779" s="1" t="n">
        <v>46221</v>
      </c>
      <c r="F779" t="inlineStr">
        <is>
          <t>VÄRMLANDS LÄN</t>
        </is>
      </c>
      <c r="G779" t="inlineStr">
        <is>
          <t>SÄFFLE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15319-2025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45747</v>
      </c>
      <c r="E780" s="1" t="n">
        <v>46221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21396-2024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45441</v>
      </c>
      <c r="E781" s="1" t="n">
        <v>46221</v>
      </c>
      <c r="F781" t="inlineStr">
        <is>
          <t>VÄRMLANDS LÄN</t>
        </is>
      </c>
      <c r="G781" t="inlineStr">
        <is>
          <t>SÄFFLE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8138-2025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45707</v>
      </c>
      <c r="E782" s="1" t="n">
        <v>46221</v>
      </c>
      <c r="F782" t="inlineStr">
        <is>
          <t>VÄRMLANDS LÄN</t>
        </is>
      </c>
      <c r="G782" t="inlineStr">
        <is>
          <t>SÄFFLE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51189-2024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45603</v>
      </c>
      <c r="E783" s="1" t="n">
        <v>46221</v>
      </c>
      <c r="F783" t="inlineStr">
        <is>
          <t>VÄRMLANDS LÄN</t>
        </is>
      </c>
      <c r="G783" t="inlineStr">
        <is>
          <t>SÄFFLE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4194-2025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45685</v>
      </c>
      <c r="E784" s="1" t="n">
        <v>46221</v>
      </c>
      <c r="F784" t="inlineStr">
        <is>
          <t>VÄRMLANDS LÄN</t>
        </is>
      </c>
      <c r="G784" t="inlineStr">
        <is>
          <t>SÄFFLE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45480-2024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45576</v>
      </c>
      <c r="E785" s="1" t="n">
        <v>46221</v>
      </c>
      <c r="F785" t="inlineStr">
        <is>
          <t>VÄRMLANDS LÄN</t>
        </is>
      </c>
      <c r="G785" t="inlineStr">
        <is>
          <t>SÄFFLE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59807-2024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45639</v>
      </c>
      <c r="E786" s="1" t="n">
        <v>46221</v>
      </c>
      <c r="F786" t="inlineStr">
        <is>
          <t>VÄRMLANDS LÄN</t>
        </is>
      </c>
      <c r="G786" t="inlineStr">
        <is>
          <t>SÄFFLE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59812-2024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45639</v>
      </c>
      <c r="E787" s="1" t="n">
        <v>46221</v>
      </c>
      <c r="F787" t="inlineStr">
        <is>
          <t>VÄRMLANDS LÄN</t>
        </is>
      </c>
      <c r="G787" t="inlineStr">
        <is>
          <t>SÄFFLE</t>
        </is>
      </c>
      <c r="I787" t="n">
        <v>8.1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12599-2024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45380</v>
      </c>
      <c r="E788" s="1" t="n">
        <v>46221</v>
      </c>
      <c r="F788" t="inlineStr">
        <is>
          <t>VÄRMLANDS LÄN</t>
        </is>
      </c>
      <c r="G788" t="inlineStr">
        <is>
          <t>SÄFFLE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61819-2024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46221</v>
      </c>
      <c r="F789" t="inlineStr">
        <is>
          <t>VÄRMLANDS LÄN</t>
        </is>
      </c>
      <c r="G789" t="inlineStr">
        <is>
          <t>SÄFFLE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21980-2025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46221</v>
      </c>
      <c r="F790" t="inlineStr">
        <is>
          <t>VÄRMLANDS LÄN</t>
        </is>
      </c>
      <c r="G790" t="inlineStr">
        <is>
          <t>SÄFFLE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10697-2024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45369</v>
      </c>
      <c r="E791" s="1" t="n">
        <v>46221</v>
      </c>
      <c r="F791" t="inlineStr">
        <is>
          <t>VÄRMLANDS LÄN</t>
        </is>
      </c>
      <c r="G791" t="inlineStr">
        <is>
          <t>SÄFFLE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21745-2025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45783</v>
      </c>
      <c r="E792" s="1" t="n">
        <v>46221</v>
      </c>
      <c r="F792" t="inlineStr">
        <is>
          <t>VÄRMLANDS LÄN</t>
        </is>
      </c>
      <c r="G792" t="inlineStr">
        <is>
          <t>SÄFFLE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13533-2025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46221</v>
      </c>
      <c r="F793" t="inlineStr">
        <is>
          <t>VÄRMLANDS LÄN</t>
        </is>
      </c>
      <c r="G793" t="inlineStr">
        <is>
          <t>SÄFFLE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3752-2025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45681</v>
      </c>
      <c r="E794" s="1" t="n">
        <v>46221</v>
      </c>
      <c r="F794" t="inlineStr">
        <is>
          <t>VÄRMLANDS LÄN</t>
        </is>
      </c>
      <c r="G794" t="inlineStr">
        <is>
          <t>SÄFFLE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18925-2024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45427</v>
      </c>
      <c r="E795" s="1" t="n">
        <v>46221</v>
      </c>
      <c r="F795" t="inlineStr">
        <is>
          <t>VÄRMLANDS LÄN</t>
        </is>
      </c>
      <c r="G795" t="inlineStr">
        <is>
          <t>SÄFFLE</t>
        </is>
      </c>
      <c r="I795" t="n">
        <v>7.7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40518-2024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45555</v>
      </c>
      <c r="E796" s="1" t="n">
        <v>46221</v>
      </c>
      <c r="F796" t="inlineStr">
        <is>
          <t>VÄRMLANDS LÄN</t>
        </is>
      </c>
      <c r="G796" t="inlineStr">
        <is>
          <t>SÄFFLE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22905-2025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46221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22988-2025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46221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46221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10350-2025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45720</v>
      </c>
      <c r="E800" s="1" t="n">
        <v>46221</v>
      </c>
      <c r="F800" t="inlineStr">
        <is>
          <t>VÄRMLANDS LÄN</t>
        </is>
      </c>
      <c r="G800" t="inlineStr">
        <is>
          <t>SÄFFLE</t>
        </is>
      </c>
      <c r="H800" t="inlineStr">
        <is>
          <t>Kyrkan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55093-2022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44881</v>
      </c>
      <c r="E801" s="1" t="n">
        <v>46221</v>
      </c>
      <c r="F801" t="inlineStr">
        <is>
          <t>VÄRMLANDS LÄN</t>
        </is>
      </c>
      <c r="G801" t="inlineStr">
        <is>
          <t>SÄFFLE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22997-2025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46221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23002-2025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46221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22993-2025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46221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23371-2025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45791</v>
      </c>
      <c r="E805" s="1" t="n">
        <v>46221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23081-2025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46221</v>
      </c>
      <c r="F806" t="inlineStr">
        <is>
          <t>VÄRMLANDS LÄN</t>
        </is>
      </c>
      <c r="G806" t="inlineStr">
        <is>
          <t>SÄFFLE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23357-2025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45791</v>
      </c>
      <c r="E807" s="1" t="n">
        <v>46221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8129-2025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45707</v>
      </c>
      <c r="E808" s="1" t="n">
        <v>46221</v>
      </c>
      <c r="F808" t="inlineStr">
        <is>
          <t>VÄRMLANDS LÄN</t>
        </is>
      </c>
      <c r="G808" t="inlineStr">
        <is>
          <t>SÄFFLE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24109-2025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45796</v>
      </c>
      <c r="E809" s="1" t="n">
        <v>46221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4093-2024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45323</v>
      </c>
      <c r="E810" s="1" t="n">
        <v>46221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59632-2024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45638</v>
      </c>
      <c r="E811" s="1" t="n">
        <v>46221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57179-2023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46221</v>
      </c>
      <c r="F812" t="inlineStr">
        <is>
          <t>VÄRMLANDS LÄN</t>
        </is>
      </c>
      <c r="G812" t="inlineStr">
        <is>
          <t>SÄFFLE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25027-2025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45799</v>
      </c>
      <c r="E813" s="1" t="n">
        <v>46221</v>
      </c>
      <c r="F813" t="inlineStr">
        <is>
          <t>VÄRMLANDS LÄN</t>
        </is>
      </c>
      <c r="G813" t="inlineStr">
        <is>
          <t>SÄFFLE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25183-2025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46221</v>
      </c>
      <c r="F814" t="inlineStr">
        <is>
          <t>VÄRMLANDS LÄN</t>
        </is>
      </c>
      <c r="G814" t="inlineStr">
        <is>
          <t>SÄFFLE</t>
        </is>
      </c>
      <c r="I814" t="n">
        <v>16.1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297-2022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46221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287-2022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46221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46221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10147-2021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46221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7132-2022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46221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7134-2022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46221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10208-2021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46221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7130-2022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46221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10205-2021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46221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600-2024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46221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51.1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7133-2022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46221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66-2024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45299</v>
      </c>
      <c r="E826" s="1" t="n">
        <v>46221</v>
      </c>
      <c r="F826" t="inlineStr">
        <is>
          <t>VÄRMLANDS LÄN</t>
        </is>
      </c>
      <c r="G826" t="inlineStr">
        <is>
          <t>SÄFFLE</t>
        </is>
      </c>
      <c r="I826" t="n">
        <v>101.3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6546-2021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44453</v>
      </c>
      <c r="E827" s="1" t="n">
        <v>46221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46221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46221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46221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46221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10203-2021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46221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8638-2021</t>
        </is>
      </c>
      <c r="B833" t="inlineStr">
        <is>
          <t>samrådsanmälan</t>
        </is>
      </c>
      <c r="C833" t="inlineStr">
        <is>
          <t>Skogsbilväg</t>
        </is>
      </c>
      <c r="D833" s="1" t="n">
        <v>44501</v>
      </c>
      <c r="E833" s="1" t="n">
        <v>46221</v>
      </c>
      <c r="F833" t="inlineStr">
        <is>
          <t>VÄRMLANDS LÄN</t>
        </is>
      </c>
      <c r="G833" t="inlineStr">
        <is>
          <t>SÄFFLE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1402-2025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45779</v>
      </c>
      <c r="E834" s="1" t="n">
        <v>46221</v>
      </c>
      <c r="F834" t="inlineStr">
        <is>
          <t>VÄRMLANDS LÄN</t>
        </is>
      </c>
      <c r="G834" t="inlineStr">
        <is>
          <t>SÄFFLE</t>
        </is>
      </c>
      <c r="I834" t="n">
        <v>24.2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89-2026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46035</v>
      </c>
      <c r="E835" s="1" t="n">
        <v>46221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40.8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1933-2026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46203</v>
      </c>
      <c r="E836" s="1" t="n">
        <v>46221</v>
      </c>
      <c r="F836" t="inlineStr">
        <is>
          <t>VÄRMLANDS LÄN</t>
        </is>
      </c>
      <c r="G836" t="inlineStr">
        <is>
          <t>SÄFFLE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>
      <c r="A837" t="inlineStr">
        <is>
          <t>S 1635-2026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46177</v>
      </c>
      <c r="E837" s="1" t="n">
        <v>46221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49.3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2026-07-18T01:24:33Z</dcterms:created>
  <dcterms:modified xmlns:dcterms="http://purl.org/dc/terms/" xmlns:xsi="http://www.w3.org/2001/XMLSchema-instance" xsi:type="dcterms:W3CDTF">2026-07-18T01:24:34Z</dcterms:modified>
</cp:coreProperties>
</file>